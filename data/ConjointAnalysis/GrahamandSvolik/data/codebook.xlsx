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\Dropbox\GrahamSvolik\replication file\"/>
    </mc:Choice>
  </mc:AlternateContent>
  <xr:revisionPtr revIDLastSave="0" documentId="13_ncr:1_{CCE5F3DD-EB9B-430C-B89E-7ED4D82B2C99}" xr6:coauthVersionLast="45" xr6:coauthVersionMax="45" xr10:uidLastSave="{00000000-0000-0000-0000-000000000000}"/>
  <bookViews>
    <workbookView xWindow="-96" yWindow="-96" windowWidth="23232" windowHeight="12552" xr2:uid="{FE407556-2A23-41EC-BAF1-27769E50F99A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61" i="1" l="1"/>
  <c r="C308" i="1" l="1"/>
  <c r="C309" i="1"/>
  <c r="C310" i="1"/>
  <c r="D93" i="1"/>
  <c r="B93" i="1" s="1"/>
  <c r="D94" i="1"/>
  <c r="B94" i="1" s="1"/>
  <c r="D95" i="1"/>
  <c r="B95" i="1" s="1"/>
  <c r="D96" i="1"/>
  <c r="B96" i="1" s="1"/>
  <c r="D97" i="1"/>
  <c r="B97" i="1" s="1"/>
  <c r="D98" i="1"/>
  <c r="B98" i="1" s="1"/>
  <c r="D99" i="1"/>
  <c r="B99" i="1" s="1"/>
  <c r="D100" i="1"/>
  <c r="B100" i="1" s="1"/>
  <c r="D101" i="1"/>
  <c r="B101" i="1" s="1"/>
  <c r="D102" i="1"/>
  <c r="B102" i="1" s="1"/>
  <c r="D103" i="1"/>
  <c r="B103" i="1" s="1"/>
  <c r="D104" i="1"/>
  <c r="B104" i="1" s="1"/>
  <c r="D105" i="1"/>
  <c r="B105" i="1" s="1"/>
  <c r="D106" i="1"/>
  <c r="B106" i="1" s="1"/>
  <c r="D107" i="1"/>
  <c r="B107" i="1" s="1"/>
  <c r="D108" i="1"/>
  <c r="B108" i="1" s="1"/>
  <c r="D109" i="1"/>
  <c r="B109" i="1" s="1"/>
  <c r="D110" i="1"/>
  <c r="B110" i="1" s="1"/>
  <c r="D111" i="1"/>
  <c r="B111" i="1" s="1"/>
  <c r="D112" i="1"/>
  <c r="B112" i="1" s="1"/>
  <c r="D113" i="1"/>
  <c r="B113" i="1" s="1"/>
  <c r="D114" i="1"/>
  <c r="B114" i="1" s="1"/>
  <c r="D115" i="1"/>
  <c r="B115" i="1" s="1"/>
  <c r="D116" i="1"/>
  <c r="B116" i="1" s="1"/>
  <c r="D117" i="1"/>
  <c r="B117" i="1" s="1"/>
  <c r="D118" i="1"/>
  <c r="B118" i="1" s="1"/>
  <c r="D119" i="1"/>
  <c r="B119" i="1" s="1"/>
  <c r="D120" i="1"/>
  <c r="B120" i="1" s="1"/>
  <c r="D121" i="1"/>
  <c r="B121" i="1" s="1"/>
  <c r="D122" i="1"/>
  <c r="B122" i="1" s="1"/>
  <c r="D123" i="1"/>
  <c r="B123" i="1" s="1"/>
  <c r="D124" i="1"/>
  <c r="B124" i="1" s="1"/>
  <c r="D125" i="1"/>
  <c r="B125" i="1" s="1"/>
  <c r="D126" i="1"/>
  <c r="B126" i="1" s="1"/>
  <c r="D127" i="1"/>
  <c r="B127" i="1" s="1"/>
  <c r="D128" i="1"/>
  <c r="B128" i="1" s="1"/>
  <c r="D129" i="1"/>
  <c r="B129" i="1" s="1"/>
  <c r="D130" i="1"/>
  <c r="B130" i="1" s="1"/>
  <c r="D131" i="1"/>
  <c r="B131" i="1" s="1"/>
  <c r="D132" i="1"/>
  <c r="B132" i="1" s="1"/>
  <c r="D133" i="1"/>
  <c r="B133" i="1" s="1"/>
  <c r="D134" i="1"/>
  <c r="B134" i="1" s="1"/>
  <c r="D135" i="1"/>
  <c r="B135" i="1" s="1"/>
  <c r="D136" i="1"/>
  <c r="B136" i="1" s="1"/>
  <c r="D137" i="1"/>
  <c r="B137" i="1" s="1"/>
  <c r="D138" i="1"/>
  <c r="B138" i="1" s="1"/>
  <c r="D139" i="1"/>
  <c r="B139" i="1" s="1"/>
  <c r="D140" i="1"/>
  <c r="B140" i="1" s="1"/>
  <c r="D141" i="1"/>
  <c r="B141" i="1" s="1"/>
  <c r="D142" i="1"/>
  <c r="B142" i="1" s="1"/>
  <c r="D143" i="1"/>
  <c r="B143" i="1" s="1"/>
  <c r="D144" i="1"/>
  <c r="B144" i="1" s="1"/>
  <c r="D145" i="1"/>
  <c r="B145" i="1" s="1"/>
  <c r="D146" i="1"/>
  <c r="B146" i="1" s="1"/>
  <c r="D147" i="1"/>
  <c r="B147" i="1" s="1"/>
  <c r="D148" i="1"/>
  <c r="B148" i="1" s="1"/>
  <c r="D149" i="1"/>
  <c r="B149" i="1" s="1"/>
  <c r="D150" i="1"/>
  <c r="B150" i="1" s="1"/>
  <c r="D151" i="1"/>
  <c r="B151" i="1" s="1"/>
  <c r="D152" i="1"/>
  <c r="B152" i="1" s="1"/>
  <c r="D153" i="1"/>
  <c r="B153" i="1" s="1"/>
  <c r="D154" i="1"/>
  <c r="B154" i="1" s="1"/>
  <c r="D155" i="1"/>
  <c r="B155" i="1" s="1"/>
  <c r="D156" i="1"/>
  <c r="B156" i="1" s="1"/>
  <c r="D157" i="1"/>
  <c r="B157" i="1" s="1"/>
  <c r="D158" i="1"/>
  <c r="B158" i="1" s="1"/>
  <c r="D159" i="1"/>
  <c r="B159" i="1" s="1"/>
  <c r="D160" i="1"/>
  <c r="B160" i="1" s="1"/>
  <c r="D86" i="1"/>
  <c r="B86" i="1" s="1"/>
  <c r="D87" i="1"/>
  <c r="B87" i="1" s="1"/>
  <c r="D88" i="1"/>
  <c r="B88" i="1" s="1"/>
  <c r="D89" i="1"/>
  <c r="B89" i="1" s="1"/>
  <c r="D90" i="1"/>
  <c r="B90" i="1" s="1"/>
  <c r="D91" i="1"/>
  <c r="B91" i="1" s="1"/>
  <c r="D92" i="1"/>
  <c r="B92" i="1" s="1"/>
  <c r="D85" i="1"/>
  <c r="B85" i="1" s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72" i="1"/>
  <c r="C67" i="1"/>
  <c r="C64" i="1"/>
</calcChain>
</file>

<file path=xl/sharedStrings.xml><?xml version="1.0" encoding="utf-8"?>
<sst xmlns="http://schemas.openxmlformats.org/spreadsheetml/2006/main" count="1174" uniqueCount="502">
  <si>
    <t>id</t>
  </si>
  <si>
    <t>weight</t>
  </si>
  <si>
    <t>matchNum</t>
  </si>
  <si>
    <t>candNum</t>
  </si>
  <si>
    <t>c_win</t>
  </si>
  <si>
    <t>c_vote</t>
  </si>
  <si>
    <t>c_party</t>
  </si>
  <si>
    <t>c_Party</t>
  </si>
  <si>
    <t>c_prox</t>
  </si>
  <si>
    <t>c_proxSq</t>
  </si>
  <si>
    <t>c_distance</t>
  </si>
  <si>
    <t>c_p1_code</t>
  </si>
  <si>
    <t>c_p1_rate</t>
  </si>
  <si>
    <t>c_p1_area</t>
  </si>
  <si>
    <t>c_p1_num</t>
  </si>
  <si>
    <t>c_p1_imp</t>
  </si>
  <si>
    <t>c_p1_ideal</t>
  </si>
  <si>
    <t>c_p1_rank</t>
  </si>
  <si>
    <t>c_p1_distance</t>
  </si>
  <si>
    <t>c_p2_code</t>
  </si>
  <si>
    <t>c_p2_rate</t>
  </si>
  <si>
    <t>c_p2_area</t>
  </si>
  <si>
    <t>c_p2_num</t>
  </si>
  <si>
    <t>c_p2_imp</t>
  </si>
  <si>
    <t>c_p2_ideal</t>
  </si>
  <si>
    <t>c_p2_rank</t>
  </si>
  <si>
    <t>c_p2_distance</t>
  </si>
  <si>
    <t>c_dem_code</t>
  </si>
  <si>
    <t>c_dem_type</t>
  </si>
  <si>
    <t>c_dem_codeLR</t>
  </si>
  <si>
    <t>c_dem_rate</t>
  </si>
  <si>
    <t>c_dem_code_g_schedule</t>
  </si>
  <si>
    <t>c_dem_code_u_gerry10</t>
  </si>
  <si>
    <t>c_dem_code_g_boardElect</t>
  </si>
  <si>
    <t>c_dem_code_g_record</t>
  </si>
  <si>
    <t>c_dem_code_g_procedure</t>
  </si>
  <si>
    <t>c_dem_code_u_limitVote</t>
  </si>
  <si>
    <t>c_dem_code_u_execRule</t>
  </si>
  <si>
    <t>c_dem_code_g_progEval</t>
  </si>
  <si>
    <t>c_dem_code_v_tax</t>
  </si>
  <si>
    <t>c_dem_code_v_affair</t>
  </si>
  <si>
    <t>c_dem_code_g_officestructure</t>
  </si>
  <si>
    <t>c_dem_code_u_banProtest</t>
  </si>
  <si>
    <t>c_dem_code_u_gerry2</t>
  </si>
  <si>
    <t>c_dem_code_u_journalists</t>
  </si>
  <si>
    <t>c_dem_code_g_committee</t>
  </si>
  <si>
    <t>c_dem_code_u_court</t>
  </si>
  <si>
    <t>c_dem_code_u_gerry10_non</t>
  </si>
  <si>
    <t>c_dem_code_u_gerry2_non</t>
  </si>
  <si>
    <t>c_dem_type_g</t>
  </si>
  <si>
    <t>c_dem_type_u</t>
  </si>
  <si>
    <t>c_dem_type_v</t>
  </si>
  <si>
    <t>c_sex</t>
  </si>
  <si>
    <t>c_sex_Male</t>
  </si>
  <si>
    <t>c_sex_Female</t>
  </si>
  <si>
    <t>c_race</t>
  </si>
  <si>
    <t>c_race_White</t>
  </si>
  <si>
    <t>c_race_Black</t>
  </si>
  <si>
    <t>c_race_Hispanic</t>
  </si>
  <si>
    <t>c_race_Asian</t>
  </si>
  <si>
    <t>c_pro</t>
  </si>
  <si>
    <t>c_pro_Legislative_staffer</t>
  </si>
  <si>
    <t>c_pro_Lawyer</t>
  </si>
  <si>
    <t>c_pro_Small_business_owner</t>
  </si>
  <si>
    <t>c_pro_Teacher</t>
  </si>
  <si>
    <t>c_pro_Farmer</t>
  </si>
  <si>
    <t>c_pro_Police_officer</t>
  </si>
  <si>
    <t>c_pro_Business_executive</t>
  </si>
  <si>
    <t>c_pro_Served_in_the_army</t>
  </si>
  <si>
    <t>c_pro_Served_in_the_navy</t>
  </si>
  <si>
    <t>c_age</t>
  </si>
  <si>
    <t>c_job</t>
  </si>
  <si>
    <t>c_exper</t>
  </si>
  <si>
    <t>c_pRate</t>
  </si>
  <si>
    <t>c_pRank</t>
  </si>
  <si>
    <t>c_distSq</t>
  </si>
  <si>
    <t>c_pRateSq</t>
  </si>
  <si>
    <t>c_pRankSq</t>
  </si>
  <si>
    <t>o_choice</t>
  </si>
  <si>
    <t>o_win</t>
  </si>
  <si>
    <t>o_vote</t>
  </si>
  <si>
    <t>o_party</t>
  </si>
  <si>
    <t>o_Party</t>
  </si>
  <si>
    <t>o_prox</t>
  </si>
  <si>
    <t>o_proxSq</t>
  </si>
  <si>
    <t>o_distance</t>
  </si>
  <si>
    <t>o_p1_code</t>
  </si>
  <si>
    <t>o_p1_rate</t>
  </si>
  <si>
    <t>o_p1_area</t>
  </si>
  <si>
    <t>o_p1_num</t>
  </si>
  <si>
    <t>o_p1_imp</t>
  </si>
  <si>
    <t>o_p1_ideal</t>
  </si>
  <si>
    <t>o_p1_rank</t>
  </si>
  <si>
    <t>o_p1_distance</t>
  </si>
  <si>
    <t>o_p2_code</t>
  </si>
  <si>
    <t>o_p2_rate</t>
  </si>
  <si>
    <t>o_p2_area</t>
  </si>
  <si>
    <t>o_p2_num</t>
  </si>
  <si>
    <t>o_p2_imp</t>
  </si>
  <si>
    <t>o_p2_ideal</t>
  </si>
  <si>
    <t>o_p2_rank</t>
  </si>
  <si>
    <t>o_p2_distance</t>
  </si>
  <si>
    <t>o_dem_code</t>
  </si>
  <si>
    <t>o_dem_type</t>
  </si>
  <si>
    <t>o_dem_codeLR</t>
  </si>
  <si>
    <t>o_dem_rate</t>
  </si>
  <si>
    <t>o_dem_code_g_schedule</t>
  </si>
  <si>
    <t>o_dem_code_u_gerry10</t>
  </si>
  <si>
    <t>o_dem_code_g_boardElect</t>
  </si>
  <si>
    <t>o_dem_code_g_record</t>
  </si>
  <si>
    <t>o_dem_code_g_procedure</t>
  </si>
  <si>
    <t>o_dem_code_u_limitVote</t>
  </si>
  <si>
    <t>o_dem_code_u_execRule</t>
  </si>
  <si>
    <t>o_dem_code_g_progEval</t>
  </si>
  <si>
    <t>o_dem_code_v_tax</t>
  </si>
  <si>
    <t>o_dem_code_v_affair</t>
  </si>
  <si>
    <t>o_dem_code_g_officestructure</t>
  </si>
  <si>
    <t>o_dem_code_u_banProtest</t>
  </si>
  <si>
    <t>o_dem_code_u_gerry2</t>
  </si>
  <si>
    <t>o_dem_code_u_journalists</t>
  </si>
  <si>
    <t>o_dem_code_g_committee</t>
  </si>
  <si>
    <t>o_dem_code_u_court</t>
  </si>
  <si>
    <t>o_dem_code_u_gerry10_non</t>
  </si>
  <si>
    <t>o_dem_code_u_gerry2_non</t>
  </si>
  <si>
    <t>o_dem_type_g</t>
  </si>
  <si>
    <t>o_dem_type_u</t>
  </si>
  <si>
    <t>o_dem_type_v</t>
  </si>
  <si>
    <t>o_sex</t>
  </si>
  <si>
    <t>o_sex_Male</t>
  </si>
  <si>
    <t>o_sex_Female</t>
  </si>
  <si>
    <t>o_race</t>
  </si>
  <si>
    <t>o_race_White</t>
  </si>
  <si>
    <t>o_race_Black</t>
  </si>
  <si>
    <t>o_race_Hispanic</t>
  </si>
  <si>
    <t>o_race_Asian</t>
  </si>
  <si>
    <t>o_pro</t>
  </si>
  <si>
    <t>o_pro_Legislative_staffer</t>
  </si>
  <si>
    <t>o_pro_Lawyer</t>
  </si>
  <si>
    <t>o_pro_Small_business_owner</t>
  </si>
  <si>
    <t>o_pro_Teacher</t>
  </si>
  <si>
    <t>o_pro_Farmer</t>
  </si>
  <si>
    <t>o_pro_Police_officer</t>
  </si>
  <si>
    <t>o_pro_Business_executive</t>
  </si>
  <si>
    <t>o_pro_Served_in_the_army</t>
  </si>
  <si>
    <t>o_pro_Served_in_the_navy</t>
  </si>
  <si>
    <t>o_age</t>
  </si>
  <si>
    <t>o_job</t>
  </si>
  <si>
    <t>o_exper</t>
  </si>
  <si>
    <t>o_pRate</t>
  </si>
  <si>
    <t>o_pRank</t>
  </si>
  <si>
    <t>o_distSq</t>
  </si>
  <si>
    <t>o_pRateSq</t>
  </si>
  <si>
    <t>o_pRankSq</t>
  </si>
  <si>
    <t>diff_vote</t>
  </si>
  <si>
    <t>diff_prox</t>
  </si>
  <si>
    <t>diff_proxSq</t>
  </si>
  <si>
    <t>diff_distance</t>
  </si>
  <si>
    <t>diff_p1_rate</t>
  </si>
  <si>
    <t>diff_p1_num</t>
  </si>
  <si>
    <t>diff_p1_imp</t>
  </si>
  <si>
    <t>diff_p1_rank</t>
  </si>
  <si>
    <t>diff_p1_distance</t>
  </si>
  <si>
    <t>diff_p2_rate</t>
  </si>
  <si>
    <t>diff_p2_num</t>
  </si>
  <si>
    <t>diff_p2_imp</t>
  </si>
  <si>
    <t>diff_p2_rank</t>
  </si>
  <si>
    <t>diff_p2_distance</t>
  </si>
  <si>
    <t>diff_dem_rate</t>
  </si>
  <si>
    <t>diff_dem_code_g_schedule</t>
  </si>
  <si>
    <t>diff_dem_code_u_gerry10</t>
  </si>
  <si>
    <t>diff_dem_code_g_boardElect</t>
  </si>
  <si>
    <t>diff_dem_code_g_record</t>
  </si>
  <si>
    <t>diff_dem_code_g_procedure</t>
  </si>
  <si>
    <t>diff_dem_code_u_limitVote</t>
  </si>
  <si>
    <t>diff_dem_code_u_execRule</t>
  </si>
  <si>
    <t>diff_dem_code_g_progEval</t>
  </si>
  <si>
    <t>diff_dem_code_v_tax</t>
  </si>
  <si>
    <t>diff_dem_code_v_affair</t>
  </si>
  <si>
    <t>diff_dem_code_g_officestructure</t>
  </si>
  <si>
    <t>diff_dem_code_u_banProtest</t>
  </si>
  <si>
    <t>diff_dem_code_u_gerry2</t>
  </si>
  <si>
    <t>diff_dem_code_u_journalists</t>
  </si>
  <si>
    <t>diff_dem_code_g_committee</t>
  </si>
  <si>
    <t>diff_dem_code_u_court</t>
  </si>
  <si>
    <t>diff_dem_code_u_gerry10_non</t>
  </si>
  <si>
    <t>diff_dem_code_u_gerry2_non</t>
  </si>
  <si>
    <t>diff_dem_type_g</t>
  </si>
  <si>
    <t>diff_dem_type_u</t>
  </si>
  <si>
    <t>diff_dem_type_v</t>
  </si>
  <si>
    <t>diff_sex_Male</t>
  </si>
  <si>
    <t>diff_sex_Female</t>
  </si>
  <si>
    <t>diff_race_White</t>
  </si>
  <si>
    <t>diff_race_Black</t>
  </si>
  <si>
    <t>diff_race_Hispanic</t>
  </si>
  <si>
    <t>diff_race_Asian</t>
  </si>
  <si>
    <t>diff_pro_Legislative_staffer</t>
  </si>
  <si>
    <t>diff_pro_Lawyer</t>
  </si>
  <si>
    <t>diff_pro_Small_business_owner</t>
  </si>
  <si>
    <t>diff_pro_Teacher</t>
  </si>
  <si>
    <t>diff_pro_Farmer</t>
  </si>
  <si>
    <t>diff_pro_Police_officer</t>
  </si>
  <si>
    <t>diff_pro_Business_executive</t>
  </si>
  <si>
    <t>diff_pro_Served_in_the_army</t>
  </si>
  <si>
    <t>diff_pro_Served_in_the_navy</t>
  </si>
  <si>
    <t>diff_age</t>
  </si>
  <si>
    <t>diff_exper</t>
  </si>
  <si>
    <t>diff_pRate</t>
  </si>
  <si>
    <t>diff_pRank</t>
  </si>
  <si>
    <t>diff_distSq</t>
  </si>
  <si>
    <t>diff_pRateSq</t>
  </si>
  <si>
    <t>diff_pRankSq</t>
  </si>
  <si>
    <t>c_dem_code_u_banLeftProtest</t>
  </si>
  <si>
    <t>c_dem_code_u_banRightProtest</t>
  </si>
  <si>
    <t>o_dem_code_u_banLeftProtest</t>
  </si>
  <si>
    <t>o_dem_code_u_banRightProtest</t>
  </si>
  <si>
    <t>diff_dem_code_u_banLeftProtest</t>
  </si>
  <si>
    <t>diff_dem_code_u_banRightProtest</t>
  </si>
  <si>
    <t>onLeft</t>
  </si>
  <si>
    <t>diff_prox_bin</t>
  </si>
  <si>
    <t>diff_proxSq_bin</t>
  </si>
  <si>
    <t>diff_pRate_bin</t>
  </si>
  <si>
    <t>diff_pRateSq_bin</t>
  </si>
  <si>
    <t>diff_distance_bin</t>
  </si>
  <si>
    <t>diff_distSq_bin</t>
  </si>
  <si>
    <t>diff_pRank_bin</t>
  </si>
  <si>
    <t>diff_pRankSq_bin</t>
  </si>
  <si>
    <t>Type</t>
  </si>
  <si>
    <t>m_dem_type</t>
  </si>
  <si>
    <t>st</t>
  </si>
  <si>
    <t>pid3</t>
  </si>
  <si>
    <t>ideo</t>
  </si>
  <si>
    <t>trump</t>
  </si>
  <si>
    <t>tax</t>
  </si>
  <si>
    <t>age</t>
  </si>
  <si>
    <t>gender</t>
  </si>
  <si>
    <t>hhi</t>
  </si>
  <si>
    <t>ethnicity</t>
  </si>
  <si>
    <t>hispanic</t>
  </si>
  <si>
    <t>political_party</t>
  </si>
  <si>
    <t>education</t>
  </si>
  <si>
    <t>state</t>
  </si>
  <si>
    <t>educ</t>
  </si>
  <si>
    <t>age_cut</t>
  </si>
  <si>
    <t>race</t>
  </si>
  <si>
    <t>hhi_cut</t>
  </si>
  <si>
    <t>pid_lean</t>
  </si>
  <si>
    <t>pid7</t>
  </si>
  <si>
    <t>pid_fold</t>
  </si>
  <si>
    <t>pid_Lean</t>
  </si>
  <si>
    <t>E_ideal</t>
  </si>
  <si>
    <t>I_ideal</t>
  </si>
  <si>
    <t>M_ideal</t>
  </si>
  <si>
    <t>T_ideal</t>
  </si>
  <si>
    <t>knowl_ryan</t>
  </si>
  <si>
    <t>knowl_roberts</t>
  </si>
  <si>
    <t>knowl_merkel</t>
  </si>
  <si>
    <t>knowl_putin</t>
  </si>
  <si>
    <t>knowl_spend</t>
  </si>
  <si>
    <t>knowl_house</t>
  </si>
  <si>
    <t>auth_respect</t>
  </si>
  <si>
    <t>auth_manners</t>
  </si>
  <si>
    <t>auth_obey</t>
  </si>
  <si>
    <t>auth_behave</t>
  </si>
  <si>
    <t>voteduty</t>
  </si>
  <si>
    <t>auth_total</t>
  </si>
  <si>
    <t>knowl_senate_party</t>
  </si>
  <si>
    <t>knowl_senate_term</t>
  </si>
  <si>
    <t>knowl_anes_total</t>
  </si>
  <si>
    <t>dem_imp</t>
  </si>
  <si>
    <t>dem_better</t>
  </si>
  <si>
    <t>dem_satisfied</t>
  </si>
  <si>
    <t>dem_gerry</t>
  </si>
  <si>
    <t>dem_ess_taxRich</t>
  </si>
  <si>
    <t>dem_ess_religLaw</t>
  </si>
  <si>
    <t>dem_ess_elections</t>
  </si>
  <si>
    <t>dem_ess_unempAid</t>
  </si>
  <si>
    <t>dem_ess_coups</t>
  </si>
  <si>
    <t>dem_ess_civilRights</t>
  </si>
  <si>
    <t>dem_ess_incomeEqual</t>
  </si>
  <si>
    <t>dem_ess_obeyRuler</t>
  </si>
  <si>
    <t>dem_ess_womenEqual</t>
  </si>
  <si>
    <t>dem_UStoday</t>
  </si>
  <si>
    <t>dem_sys_strongman</t>
  </si>
  <si>
    <t>dem_sys_experts</t>
  </si>
  <si>
    <t>dem_sys_army</t>
  </si>
  <si>
    <t>dem_sys_democracy</t>
  </si>
  <si>
    <t>dem_world_pressDisagree</t>
  </si>
  <si>
    <t>dem_world_propToMaj</t>
  </si>
  <si>
    <t>dem_world_welfare</t>
  </si>
  <si>
    <t>dem_world_coup</t>
  </si>
  <si>
    <t>dem_world_halfVote</t>
  </si>
  <si>
    <t>dem_world_govCampaign</t>
  </si>
  <si>
    <t>dem_world_termLimit</t>
  </si>
  <si>
    <t>dem_world_eVote</t>
  </si>
  <si>
    <t>dem_treat_journalists</t>
  </si>
  <si>
    <t>dem_treat_banProtest</t>
  </si>
  <si>
    <t>dem_treat_execRule</t>
  </si>
  <si>
    <t>dem_treat_ignoreCourt</t>
  </si>
  <si>
    <t>dem_treat_redistrict</t>
  </si>
  <si>
    <t>dem_treat_limitVote</t>
  </si>
  <si>
    <t>dem_treat_banLeftProtest</t>
  </si>
  <si>
    <t>dem_treat_banRightProtest</t>
  </si>
  <si>
    <t>m_candSameParty</t>
  </si>
  <si>
    <t>m_respSameParty</t>
  </si>
  <si>
    <t>c_respParty</t>
  </si>
  <si>
    <t>o_respParty</t>
  </si>
  <si>
    <t>diff_respParty</t>
  </si>
  <si>
    <t>m_dem_code</t>
  </si>
  <si>
    <t>R_win</t>
  </si>
  <si>
    <t>moreD_win</t>
  </si>
  <si>
    <t>Party7</t>
  </si>
  <si>
    <t>Party Strength</t>
  </si>
  <si>
    <t>pid_relative</t>
  </si>
  <si>
    <t>noSamePolicy</t>
  </si>
  <si>
    <t>partyPolicyAligned</t>
  </si>
  <si>
    <t>Variable</t>
  </si>
  <si>
    <t>Description</t>
  </si>
  <si>
    <t>integer</t>
  </si>
  <si>
    <t>Unique respondent ID</t>
  </si>
  <si>
    <t>numeric</t>
  </si>
  <si>
    <t>Respondent weight</t>
  </si>
  <si>
    <t>Candidate 1 or 2</t>
  </si>
  <si>
    <t>binary</t>
  </si>
  <si>
    <t>Did the respondent prefer candidate 1?</t>
  </si>
  <si>
    <t>Did the respondent say they would vote in this election?</t>
  </si>
  <si>
    <t>character</t>
  </si>
  <si>
    <t>Candidate 1's party (one letter)</t>
  </si>
  <si>
    <t>Candidate 1's party (full word)</t>
  </si>
  <si>
    <t>m_platformDist</t>
  </si>
  <si>
    <t>Bundle rating for candidate 1 (description in Appendix B)</t>
  </si>
  <si>
    <t>Choice scenario number (matches description in Appendix B; this is NOT the order in which the choices were displayed)</t>
  </si>
  <si>
    <t>Squared bundle rating for candidate 1 (description in Appendix B)</t>
  </si>
  <si>
    <t>Spatial distance for candidate 1 (description in Appendix B)</t>
  </si>
  <si>
    <t>Candidate 1's economic policy position</t>
  </si>
  <si>
    <t>Respondent's rating of candidate 1's economic policy position</t>
  </si>
  <si>
    <t>Respondent's importance rating of candidate 1's economic policy area (taxes or education finance)</t>
  </si>
  <si>
    <t>Respondent's ideal policy in candidate 1's economic policy area (1-4)</t>
  </si>
  <si>
    <t>c_dem_code_u_gerry1</t>
  </si>
  <si>
    <t>c_dem_code_u_gerry1_non</t>
  </si>
  <si>
    <t>o_dem_code_u_gerry1</t>
  </si>
  <si>
    <t>o_dem_code_u_gerry1_non</t>
  </si>
  <si>
    <t>diff_dem_code_u_gerry1</t>
  </si>
  <si>
    <t>diff_dem_code_u_gerry1_non</t>
  </si>
  <si>
    <t>Respondent's ranking of candidate 1's economic policy area (1-4, based on policy ratings &amp; random tiebreak)</t>
  </si>
  <si>
    <t>Candidate 1's economic policy position (E1-E4, T1-T4)</t>
  </si>
  <si>
    <t>Candidate 1's economic policy area (E or T)</t>
  </si>
  <si>
    <t>Candidate 1's economic policy number (1-4). This doubles as a liberal (1) to conservative (4) scale.</t>
  </si>
  <si>
    <t>Respondent's bundle rating for candidate 1 (description in Appendix B)</t>
  </si>
  <si>
    <t>Spatial distance between candidate 1 and respondent (description in Appendix B)</t>
  </si>
  <si>
    <t>Respondent's policy rating for candidate 1 (description in Appendix B)</t>
  </si>
  <si>
    <t>Respondent's policy rank for candidate 1 (description in Appendix B)</t>
  </si>
  <si>
    <t>Square of respondent's policy rating for candidate 1 (description in Appendix B)</t>
  </si>
  <si>
    <t>Square of respondent's policy rank for candidate 1 (description in Appendix B)</t>
  </si>
  <si>
    <t>Square of spatial distance between candidate 1 and respondent (description in Appendix B)</t>
  </si>
  <si>
    <t>Square of respondent's bundle rating for candidate 1 (description in Appendix B)</t>
  </si>
  <si>
    <t>Spatial distance on economic policy between candidate 1 and respondent (description in Appendix B)</t>
  </si>
  <si>
    <t>Candidate 1's social policy number (1-4). This doubles as a liberal (1) to conservative (4) scale.</t>
  </si>
  <si>
    <t>Respondent's ideal policy in candidate 1's social policy area (1-4)</t>
  </si>
  <si>
    <t>Respondent's ranking of candidate 1's social policy area (1-4, based on policy ratings &amp; random tiebreak)</t>
  </si>
  <si>
    <t>Spatial distance on social policy between candidate 1 and respondent (description in Appendix B)</t>
  </si>
  <si>
    <t>Respondent's importance rating of candidate 1's social policy area</t>
  </si>
  <si>
    <t>Respondent's importance rating of candidate 1's economic policy area</t>
  </si>
  <si>
    <t>Candidate 1's economic policy position (I1-I4, M1-M4)</t>
  </si>
  <si>
    <t>Candidate 1's social policy area (I or M)</t>
  </si>
  <si>
    <t>Candidate 1's democracy position</t>
  </si>
  <si>
    <t>Candidate 1's democracy type (g = generic/neutral/D+, u = undemocratic/D-, v = valence/V-)</t>
  </si>
  <si>
    <t>Candidate 1's democracy position with ban left/right protests separated</t>
  </si>
  <si>
    <t>Respondent's rating of candidate 1's democracy position</t>
  </si>
  <si>
    <t>Indicator variable for a value of c_dem_code</t>
  </si>
  <si>
    <t>"</t>
  </si>
  <si>
    <t>Indicator variable for a value of c_dem_type</t>
  </si>
  <si>
    <t>Candidate 1's gender</t>
  </si>
  <si>
    <t>Candidate 1's race / Hispanic ethnicity</t>
  </si>
  <si>
    <t>Canidate 1's profession</t>
  </si>
  <si>
    <t>Candidate 1's age</t>
  </si>
  <si>
    <t>Candidate 1's years of experience</t>
  </si>
  <si>
    <t>Difference between c_ and o_ variables with same suffix</t>
  </si>
  <si>
    <t>Indicator variable for a value of c_dem_codeLR</t>
  </si>
  <si>
    <t>o_onLeft</t>
  </si>
  <si>
    <t>c_onLeft</t>
  </si>
  <si>
    <t>Indicator for candidate 1 appearing on the left (labelled "candidate 1" to the respondent, but NOT in the data)</t>
  </si>
  <si>
    <t>Binned version of diff_pRateSq (used in Figure 2)</t>
  </si>
  <si>
    <t>Binned version of diff_prox. Value is the midpoint of the bin.</t>
  </si>
  <si>
    <t>Binned version of diff_proxSq</t>
  </si>
  <si>
    <t>Binned version of diff_pRate</t>
  </si>
  <si>
    <t>Binned version of diff_distance_distance</t>
  </si>
  <si>
    <t>Binned version of diff_distSq</t>
  </si>
  <si>
    <t>Binned version of diff_pRank</t>
  </si>
  <si>
    <t>Binned version of diff_pRq</t>
  </si>
  <si>
    <t>Both candidates' democracy positions</t>
  </si>
  <si>
    <t>Respondent's favorite marijuana policy (random tiebreaker)</t>
  </si>
  <si>
    <t>Respondent's favorite tax policy (random tiebreaker)</t>
  </si>
  <si>
    <t>All variables below are respondent-level variables</t>
  </si>
  <si>
    <t>Is candidate 1 of the respondent's party?</t>
  </si>
  <si>
    <t>Is candidate 2 of the respondent's party?</t>
  </si>
  <si>
    <t>Candidate 1 or 2 (always 1 for D-; randomly assigned for D+)</t>
  </si>
  <si>
    <t>Ideology (7-point scale)</t>
  </si>
  <si>
    <t>Approval of Trump</t>
  </si>
  <si>
    <t>Tax policy group (controls slight differences in candidate positions that match respondent's state)</t>
  </si>
  <si>
    <t>Age</t>
  </si>
  <si>
    <t>Gender</t>
  </si>
  <si>
    <t>Houshold income</t>
  </si>
  <si>
    <t>Ethnicity</t>
  </si>
  <si>
    <t>Hispanic</t>
  </si>
  <si>
    <t>Education</t>
  </si>
  <si>
    <t>State abbreviation</t>
  </si>
  <si>
    <t>Age, bins used in appendix tables &amp; figures</t>
  </si>
  <si>
    <t>Race</t>
  </si>
  <si>
    <t>Household income, groups used in appendix tables &amp; figures</t>
  </si>
  <si>
    <t>Party, including leaners (one letter)</t>
  </si>
  <si>
    <t>7-point party ID (coded -3 to 3)</t>
  </si>
  <si>
    <t>Party, including leaners (full word)</t>
  </si>
  <si>
    <t>Favorite immigration policy (random tiebreaker)</t>
  </si>
  <si>
    <t>Ideal economic policy (based on policy ratings, random tiebreaker)</t>
  </si>
  <si>
    <t>E1</t>
  </si>
  <si>
    <t>E2</t>
  </si>
  <si>
    <t>E3</t>
  </si>
  <si>
    <t>E4</t>
  </si>
  <si>
    <t>I1</t>
  </si>
  <si>
    <t>I2</t>
  </si>
  <si>
    <t>I3</t>
  </si>
  <si>
    <t>I4</t>
  </si>
  <si>
    <t>M1</t>
  </si>
  <si>
    <t>M2</t>
  </si>
  <si>
    <t>M3</t>
  </si>
  <si>
    <t>M4</t>
  </si>
  <si>
    <t>T1</t>
  </si>
  <si>
    <t>T2</t>
  </si>
  <si>
    <t>T3</t>
  </si>
  <si>
    <t>T4</t>
  </si>
  <si>
    <t>Respondent's rating of economic policy position #1</t>
  </si>
  <si>
    <t>Respondent's rating of economic policy position #2</t>
  </si>
  <si>
    <t>Respondent's rating of economic policy position #3</t>
  </si>
  <si>
    <t>Respondent's rating of economic policy position #4</t>
  </si>
  <si>
    <t>Respondent's rating of immigration policy position #1</t>
  </si>
  <si>
    <t>Respondent's rating of immigration policy position #2</t>
  </si>
  <si>
    <t>Respondent's rating of immigration policy position #3</t>
  </si>
  <si>
    <t>Respondent's rating of immigration policy position #4</t>
  </si>
  <si>
    <t>Respondent's rating of marijuana policy position #1</t>
  </si>
  <si>
    <t>Respondent's rating of marijuana policy position #2</t>
  </si>
  <si>
    <t>Respondent's rating of marijuana policy position #3</t>
  </si>
  <si>
    <t>Respondent's rating of marijuana policy position #4</t>
  </si>
  <si>
    <t>Respondent's rating of tax policy position #1</t>
  </si>
  <si>
    <t>Respondent's rating of tax policy position #2</t>
  </si>
  <si>
    <t>Respondent's rating of tax policy position #3</t>
  </si>
  <si>
    <t>Respondent's rating of tax policy position #4</t>
  </si>
  <si>
    <t>House party control (from 2016 ANES)</t>
  </si>
  <si>
    <t>Foreign aid spending (from 2016 ANES)</t>
  </si>
  <si>
    <t>Paul Ryan's job or political office (multiple choice version of 2016 ANES)</t>
  </si>
  <si>
    <t>John Roberts' job or political office (multiple choice version of 2016 ANES)</t>
  </si>
  <si>
    <t>Angela Merkel's job or political office (multiple choice version of 2016 ANES)</t>
  </si>
  <si>
    <t>Vladimir Putin's job or political office (multiple choice version of 2016 ANES)</t>
  </si>
  <si>
    <t>Authoritarian personality battery (from 2016 ANES)</t>
  </si>
  <si>
    <t>Voting a duty or a choice (from 2016 ANES)</t>
  </si>
  <si>
    <t>0-4 sum of authoritarianism battery</t>
  </si>
  <si>
    <t>Senate party control (multiple choice version of 2016 ANES)</t>
  </si>
  <si>
    <t>Senate term length (multiple choice version of 2016 ANES)</t>
  </si>
  <si>
    <t>0-8 sum of correct answers to ANES knowledge questions</t>
  </si>
  <si>
    <t>How democratically is the United States being governed today? 
Please choose on a scale from 1 to 10, where 1 means it is “not at all democratic” and 10 means “completely democratic."</t>
  </si>
  <si>
    <t>[WVS essential for democracy] Governments tax the rich and subsidize the poor. (N)</t>
  </si>
  <si>
    <t>[WVS essential for democracy] Religious authorities ultimately interpret the laws. (D-)</t>
  </si>
  <si>
    <t>[WVS essential for democracy] People choose their leaders in free elections. (D+)</t>
  </si>
  <si>
    <t>[WVS essential for democracy] People receive state aid for unemployment. (N)</t>
  </si>
  <si>
    <t>[WVS essential for democracy] The army takes over when government is incompetent. (D-)</t>
  </si>
  <si>
    <t>[WVS essential for democracy] Civil rights protect people from state oppression. (D+)</t>
  </si>
  <si>
    <t>[WVS essential for democracy] The state makes people's incomes equal. (N)</t>
  </si>
  <si>
    <t>[WVS essential for democracy] People obey their rulers. (N)</t>
  </si>
  <si>
    <t>[WVS essential for democracy] Women have the same rights as men. (D+)</t>
  </si>
  <si>
    <t>[WVS systems of government] Having a strong leader who does not have to bother with Congress or elections</t>
  </si>
  <si>
    <t>[WVS systems of government] Having experts, not government, make decisions for the country</t>
  </si>
  <si>
    <t>[WVS systems of government] Having the army rule</t>
  </si>
  <si>
    <t>[WVS systems of government] Having a democratic political system</t>
  </si>
  <si>
    <t>[Practices around the world] Journalists frequently disagree with the president's policies. (D+)</t>
  </si>
  <si>
    <t>[Practices around the world] The legislature changed the electoral system from proportional to majoritarian representation. (N)</t>
  </si>
  <si>
    <t>[Practices around the world] A candidate promised an increase in welfare benefits to attract voters. (N)</t>
  </si>
  <si>
    <t>[Practices around the world] The military overthrew a corrupt government. (D-)</t>
  </si>
  <si>
    <t>[Practices around the world] About half of the country's registered voters do not turn out to vote in legislative elections. (N)</t>
  </si>
  <si>
    <t>[Practices around the world] Candidates from the incumbent party use government resources when campaigning for re-election. (D-)</t>
  </si>
  <si>
    <t>[Practices around the world] The country's legislature passed a law that bans sitting presidents from running for re-election. (N)</t>
  </si>
  <si>
    <t>[Practices around the world] The government switched from paper ballots to electronic voting machines. (N)</t>
  </si>
  <si>
    <t>[Practices around the world + treatment check] The government prosecutes journalists who criticize the president and refuse to reveal sources. (D-)</t>
  </si>
  <si>
    <t>[Practices around the world + treatment check] The president began ruling by executive order after legislators from opposition parties refused to cooperate with his administration. (D-)</t>
  </si>
  <si>
    <t>[Practices around the world + treatment check] The government ignores unfavorable court rulings. (D-)</t>
  </si>
  <si>
    <t>[Practices around the world + treatment check] The largest party redrew legislative districts in order to secure its control of the legislature for the next term. (D-)</t>
  </si>
  <si>
    <t>[Practices around the world + treatment check] The government cut the number of polling stations in areas that support the opposition. (D-)</t>
  </si>
  <si>
    <t>[Practices around the world + treatment check] Far-left groups are banned from holding public rallies. (D-)</t>
  </si>
  <si>
    <t>[Practices around the world + treatment check] Far-right groups are banned from holding public rallies. (D-)</t>
  </si>
  <si>
    <t>[Practices around the world + treatment check] Far-[left/right] groups are banned from holding public rallies. (D-)</t>
  </si>
  <si>
    <t>7-point party ID (text)</t>
  </si>
  <si>
    <t>Variables in data_covariates.csv and data_experiment.csv</t>
  </si>
  <si>
    <t>Variables in data_experiment.csv</t>
  </si>
  <si>
    <t>Variables in data_howDemocratic.csv and data_experiment.csv</t>
  </si>
  <si>
    <t>Respondent's party ID relative to candidate 1</t>
  </si>
  <si>
    <t>abs(c_p1_num - o_p1_num + c_p2_num - o_p2_num)/2</t>
  </si>
  <si>
    <t>Did the Republican candidate win? (NA for same-party matchups)</t>
  </si>
  <si>
    <t>TRUE if candidates do not take the same policy position in either policy area, FALSE otherwise</t>
  </si>
  <si>
    <t>TRUE if the Democrat is to the left of the Republican on both policies, FALSE otherwise</t>
  </si>
  <si>
    <t>Did the more democratic candidate win?</t>
  </si>
  <si>
    <t>Is candidate 1 of the respondent's party? Values: "Resp diff", "Resp same"</t>
  </si>
  <si>
    <t>Are the candidates of the same party? Values: "Cand diff", "Cand same"</t>
  </si>
  <si>
    <t>Takes value "Generic" for D+ vs. D+, otherwise takes the undemocratic candidate's value of c_dem_code. (Used to create treatment-by-treatment figures in the appendix)</t>
  </si>
  <si>
    <t>Absolute value of pid7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</si>
</sst>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4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Border="1"/>
    <xf numFmtId="0" fontId="4" fillId="2" borderId="0" xfId="0" applyFont="1" applyFill="1" applyBorder="1"/>
    <xf numFmtId="0" fontId="2" fillId="2" borderId="0" xfId="0" applyFont="1" applyFill="1" applyBorder="1"/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/>
    <xf numFmtId="0" fontId="2" fillId="0" borderId="3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tt/Dropbox/GrahamSvolik/data/key_howDemocratic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y_howDemocratic"/>
    </sheetNames>
    <sheetDataSet>
      <sheetData sheetId="0">
        <row r="1">
          <cell r="A1" t="str">
            <v>variable</v>
          </cell>
          <cell r="B1" t="str">
            <v>scale</v>
          </cell>
          <cell r="C1" t="str">
            <v>description</v>
          </cell>
        </row>
        <row r="2">
          <cell r="A2" t="str">
            <v>dem_better</v>
          </cell>
          <cell r="B2" t="str">
            <v>[0, 1]</v>
          </cell>
          <cell r="C2" t="str">
            <v>"Democracy may have problems, but it is better than any other form of government."
To what extent do you agree or disagree with this statement?</v>
          </cell>
        </row>
        <row r="3">
          <cell r="A3" t="str">
            <v>dem_satisfied</v>
          </cell>
          <cell r="B3" t="str">
            <v>[0, 1]</v>
          </cell>
          <cell r="C3" t="str">
            <v xml:space="preserve">On the whole, are you satisfied with the way democracy works in the United States? </v>
          </cell>
        </row>
        <row r="4">
          <cell r="A4" t="str">
            <v>dem_gerry</v>
          </cell>
          <cell r="B4" t="str">
            <v>[0, 1]</v>
          </cell>
          <cell r="C4" t="str">
            <v>How strongly do you support or oppose gerrymandering?</v>
          </cell>
        </row>
        <row r="5">
          <cell r="A5" t="str">
            <v>dem_ess_taxRich</v>
          </cell>
          <cell r="B5" t="str">
            <v>[0, 1]</v>
          </cell>
          <cell r="C5" t="str">
            <v>[essential for dem?] Governments tax the rich and subsidize the poor. (N)</v>
          </cell>
        </row>
        <row r="6">
          <cell r="A6" t="str">
            <v>dem_ess_religLaw</v>
          </cell>
          <cell r="B6" t="str">
            <v>[0, 1]</v>
          </cell>
          <cell r="C6" t="str">
            <v>[essential for dem?] Religious authorities ultimately interpret the laws. (D-)</v>
          </cell>
        </row>
        <row r="7">
          <cell r="A7" t="str">
            <v>dem_ess_elections</v>
          </cell>
          <cell r="B7" t="str">
            <v>[0, 1]</v>
          </cell>
          <cell r="C7" t="str">
            <v>[essential for dem?] People choose their leaders in free elections. (D+)</v>
          </cell>
        </row>
        <row r="8">
          <cell r="A8" t="str">
            <v>dem_ess_unempAid</v>
          </cell>
          <cell r="B8" t="str">
            <v>[0, 1]</v>
          </cell>
          <cell r="C8" t="str">
            <v>[essential for dem?] People receive state aid for unemployment. (N)</v>
          </cell>
        </row>
        <row r="9">
          <cell r="A9" t="str">
            <v>dem_ess_coups</v>
          </cell>
          <cell r="B9" t="str">
            <v>[0, 1]</v>
          </cell>
          <cell r="C9" t="str">
            <v>[essential for dem?] The army takes over when government is incompetent. (D-)</v>
          </cell>
        </row>
        <row r="10">
          <cell r="A10" t="str">
            <v>dem_ess_civilRights</v>
          </cell>
          <cell r="B10" t="str">
            <v>[0, 1]</v>
          </cell>
          <cell r="C10" t="str">
            <v>[essential for dem?] Civil rights protect people from state oppression. (D+)</v>
          </cell>
        </row>
        <row r="11">
          <cell r="A11" t="str">
            <v>dem_ess_incomeEqual</v>
          </cell>
          <cell r="B11" t="str">
            <v>[0, 1]</v>
          </cell>
          <cell r="C11" t="str">
            <v>[essential for dem?] The state makes people's incomes equal. (N)</v>
          </cell>
        </row>
        <row r="12">
          <cell r="A12" t="str">
            <v>dem_ess_obeyRuler</v>
          </cell>
          <cell r="B12" t="str">
            <v>[0, 1]</v>
          </cell>
          <cell r="C12" t="str">
            <v>[essential for dem?] People obey their rulers. (N)</v>
          </cell>
        </row>
        <row r="13">
          <cell r="A13" t="str">
            <v>dem_ess_womenEqual</v>
          </cell>
          <cell r="B13" t="str">
            <v>[0, 1]</v>
          </cell>
          <cell r="C13" t="str">
            <v>[essential for dem?] Women have the same rights as men. (D+)</v>
          </cell>
        </row>
        <row r="14">
          <cell r="A14" t="str">
            <v>dem_UStoday</v>
          </cell>
          <cell r="B14" t="str">
            <v>[0, 1]</v>
          </cell>
          <cell r="C14" t="str">
            <v>How democratically is the United States being governed today? 
Please choose on a scale from 1 to 10, where 1 means it is “not at all democratic” and 10 means “completely democratic."</v>
          </cell>
        </row>
        <row r="15">
          <cell r="A15" t="str">
            <v>dem_sys_strongman</v>
          </cell>
          <cell r="B15" t="str">
            <v>[0, 1]</v>
          </cell>
          <cell r="C15" t="str">
            <v>[systems of government] Having a strong leader who does not have to bother with Congress or elections</v>
          </cell>
        </row>
        <row r="16">
          <cell r="A16" t="str">
            <v>dem_sys_experts</v>
          </cell>
          <cell r="B16" t="str">
            <v>[0, 1]</v>
          </cell>
          <cell r="C16" t="str">
            <v>[systems of government] Having experts, not government, make decisions for the country</v>
          </cell>
        </row>
        <row r="17">
          <cell r="A17" t="str">
            <v>dem_sys_army</v>
          </cell>
          <cell r="B17" t="str">
            <v>[0, 1]</v>
          </cell>
          <cell r="C17" t="str">
            <v>[systems of government] Having the army rule</v>
          </cell>
        </row>
        <row r="18">
          <cell r="A18" t="str">
            <v>dem_sys_democracy</v>
          </cell>
          <cell r="B18" t="str">
            <v>[0, 1]</v>
          </cell>
          <cell r="C18" t="str">
            <v>[systems of government] Having a democratic political system</v>
          </cell>
        </row>
        <row r="19">
          <cell r="A19" t="str">
            <v>dem_world_pressDisagree</v>
          </cell>
          <cell r="B19" t="str">
            <v>[0, 1]</v>
          </cell>
          <cell r="C19" t="str">
            <v>[around the world] Journalists frequently disagree with the president's policies. (D+)</v>
          </cell>
        </row>
        <row r="20">
          <cell r="A20" t="str">
            <v>dem_world_propToMaj</v>
          </cell>
          <cell r="B20" t="str">
            <v>[0, 1]</v>
          </cell>
          <cell r="C20" t="str">
            <v>[around the world] The legislature changed the electoral system from proportional to majoritarian representation. (N)</v>
          </cell>
        </row>
        <row r="21">
          <cell r="A21" t="str">
            <v>dem_world_welfare</v>
          </cell>
          <cell r="B21" t="str">
            <v>[0, 1]</v>
          </cell>
          <cell r="C21" t="str">
            <v>[around the world] A candidate promised an increase in welfare benefits to attract voters. (N)</v>
          </cell>
        </row>
        <row r="22">
          <cell r="A22" t="str">
            <v>dem_world_coup</v>
          </cell>
          <cell r="B22" t="str">
            <v>[0, 1]</v>
          </cell>
          <cell r="C22" t="str">
            <v>[around the world] The military overthrew a corrupt government. (D-)</v>
          </cell>
        </row>
        <row r="23">
          <cell r="A23" t="str">
            <v>dem_world_halfVote</v>
          </cell>
          <cell r="B23" t="str">
            <v>[0, 1]</v>
          </cell>
          <cell r="C23" t="str">
            <v>[around the world] About half of the country's registered voters do not turn out to vote in legislative elections. (N)</v>
          </cell>
        </row>
        <row r="24">
          <cell r="A24" t="str">
            <v>dem_world_govCampaign</v>
          </cell>
          <cell r="B24" t="str">
            <v>[0, 1]</v>
          </cell>
          <cell r="C24" t="str">
            <v>[around the world] Candidates from the incumbent party use government resources when campaigning for re-election. (D-)</v>
          </cell>
        </row>
        <row r="25">
          <cell r="A25" t="str">
            <v>dem_world_termLimit</v>
          </cell>
          <cell r="B25" t="str">
            <v>[0, 1]</v>
          </cell>
          <cell r="C25" t="str">
            <v>[around the world] The country's legislature passed a law that bans sitting presidents from running for re-election. (N)</v>
          </cell>
        </row>
        <row r="26">
          <cell r="A26" t="str">
            <v>dem_world_eVote</v>
          </cell>
          <cell r="B26" t="str">
            <v>[0, 1]</v>
          </cell>
          <cell r="C26" t="str">
            <v>[around the world] The government switched from paper ballots to electronic voting machines. (N)</v>
          </cell>
        </row>
        <row r="27">
          <cell r="A27" t="str">
            <v>dem_treat_journalists</v>
          </cell>
          <cell r="B27" t="str">
            <v>[0, 1]</v>
          </cell>
          <cell r="C27" t="str">
            <v>[treat check embedded in around the world] The government prosecutes journalists who criticize the president and refuse to reveal sources. (D-)</v>
          </cell>
        </row>
        <row r="28">
          <cell r="A28" t="str">
            <v>dem_treat_banProtest</v>
          </cell>
          <cell r="B28" t="str">
            <v>[0, 1]</v>
          </cell>
          <cell r="C28" t="str">
            <v>[treat check embedded in around the world] Far-${e://Field/demBatteryIdeo} groups are banned from holding public rallies. (D-)</v>
          </cell>
        </row>
        <row r="29">
          <cell r="A29" t="str">
            <v>dem_treat_execRule</v>
          </cell>
          <cell r="B29" t="str">
            <v>[0, 1]</v>
          </cell>
          <cell r="C29" t="str">
            <v>[treat check embedded in around the world] The president began ruling by executive order after legislators from opposition parties refused to cooperate with his administration. (D-)</v>
          </cell>
        </row>
        <row r="30">
          <cell r="A30" t="str">
            <v>dem_treat_ignoreCourt</v>
          </cell>
          <cell r="B30" t="str">
            <v>[0, 1]</v>
          </cell>
          <cell r="C30" t="str">
            <v>[treat check embedded in around the world] The government ignores unfavorable court rulings. (D-)</v>
          </cell>
        </row>
        <row r="31">
          <cell r="A31" t="str">
            <v>dem_treat_redistrict</v>
          </cell>
          <cell r="B31" t="str">
            <v>[0, 1]</v>
          </cell>
          <cell r="C31" t="str">
            <v>[treat check embedded in around the world] The largest party redrew legislative districts in order to secure its control of the legislature for the next term. (D-)</v>
          </cell>
        </row>
        <row r="32">
          <cell r="A32" t="str">
            <v>dem_treat_limitVote</v>
          </cell>
          <cell r="B32" t="str">
            <v>[0, 1]</v>
          </cell>
          <cell r="C32" t="str">
            <v>[treat check embedded in around the world] The government cut the number of polling stations in areas that support the opposition. (D-)</v>
          </cell>
        </row>
        <row r="33">
          <cell r="A33" t="str">
            <v>dem_treat_banLeftProtest</v>
          </cell>
          <cell r="B33" t="str">
            <v>[0, 1]</v>
          </cell>
          <cell r="C33" t="str">
            <v>[treat check embedded in around the world] Far-left groups are banned from holding public rallies. (D-)</v>
          </cell>
        </row>
        <row r="34">
          <cell r="A34" t="str">
            <v>dem_treat_banRightProtest</v>
          </cell>
          <cell r="B34" t="str">
            <v>[0, 1]</v>
          </cell>
          <cell r="C34" t="str">
            <v>[treat check embedded in around the world] Far-right groups are banned from holding public rallies. (D-)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ADBE-4DF9-4C99-80AB-1488CB4920E3}">
  <dimension ref="A1:D341"/>
  <sheetViews>
    <sheetView tabSelected="1" workbookViewId="0">
      <selection activeCell="C10" sqref="C10"/>
    </sheetView>
  </sheetViews>
  <sheetFormatPr defaultRowHeight="12.3" x14ac:dyDescent="0.4"/>
  <cols>
    <col min="1" max="1" width="24.05078125" style="2" customWidth="1"/>
    <col min="2" max="2" width="11" style="2" customWidth="1"/>
    <col min="3" max="3" width="94.1015625" style="2" customWidth="1"/>
    <col min="4" max="16384" width="8.83984375" style="2"/>
  </cols>
  <sheetData>
    <row r="1" spans="1:3" s="6" customFormat="1" ht="17.399999999999999" x14ac:dyDescent="0.55000000000000004">
      <c r="A1" s="5" t="s">
        <v>490</v>
      </c>
    </row>
    <row r="2" spans="1:3" s="6" customFormat="1" x14ac:dyDescent="0.4"/>
    <row r="3" spans="1:3" s="8" customFormat="1" ht="13.8" customHeight="1" x14ac:dyDescent="0.55000000000000004">
      <c r="A3" s="7" t="s">
        <v>315</v>
      </c>
      <c r="B3" s="7" t="s">
        <v>226</v>
      </c>
      <c r="C3" s="7" t="s">
        <v>316</v>
      </c>
    </row>
    <row r="4" spans="1:3" x14ac:dyDescent="0.4">
      <c r="A4" s="2" t="s">
        <v>0</v>
      </c>
      <c r="B4" s="2" t="s">
        <v>317</v>
      </c>
      <c r="C4" s="2" t="s">
        <v>318</v>
      </c>
    </row>
    <row r="5" spans="1:3" x14ac:dyDescent="0.4">
      <c r="A5" s="2" t="s">
        <v>1</v>
      </c>
      <c r="B5" s="2" t="s">
        <v>319</v>
      </c>
      <c r="C5" s="2" t="s">
        <v>320</v>
      </c>
    </row>
    <row r="6" spans="1:3" x14ac:dyDescent="0.4">
      <c r="A6" s="2" t="s">
        <v>2</v>
      </c>
      <c r="B6" s="2" t="s">
        <v>317</v>
      </c>
      <c r="C6" s="2" t="s">
        <v>330</v>
      </c>
    </row>
    <row r="7" spans="1:3" x14ac:dyDescent="0.4">
      <c r="A7" s="2" t="s">
        <v>3</v>
      </c>
      <c r="B7" s="2" t="s">
        <v>317</v>
      </c>
      <c r="C7" s="2" t="s">
        <v>395</v>
      </c>
    </row>
    <row r="8" spans="1:3" x14ac:dyDescent="0.4">
      <c r="A8" s="2" t="s">
        <v>4</v>
      </c>
      <c r="B8" s="2" t="s">
        <v>322</v>
      </c>
      <c r="C8" s="2" t="s">
        <v>323</v>
      </c>
    </row>
    <row r="9" spans="1:3" x14ac:dyDescent="0.4">
      <c r="A9" s="2" t="s">
        <v>5</v>
      </c>
      <c r="B9" s="2" t="s">
        <v>322</v>
      </c>
      <c r="C9" s="2" t="s">
        <v>324</v>
      </c>
    </row>
    <row r="10" spans="1:3" x14ac:dyDescent="0.4">
      <c r="A10" s="2" t="s">
        <v>6</v>
      </c>
      <c r="B10" s="2" t="s">
        <v>325</v>
      </c>
      <c r="C10" s="2" t="s">
        <v>326</v>
      </c>
    </row>
    <row r="11" spans="1:3" x14ac:dyDescent="0.4">
      <c r="A11" s="2" t="s">
        <v>7</v>
      </c>
      <c r="B11" s="2" t="s">
        <v>325</v>
      </c>
      <c r="C11" s="2" t="s">
        <v>327</v>
      </c>
    </row>
    <row r="12" spans="1:3" x14ac:dyDescent="0.4">
      <c r="A12" s="2" t="s">
        <v>8</v>
      </c>
      <c r="B12" s="2" t="s">
        <v>319</v>
      </c>
      <c r="C12" s="2" t="s">
        <v>347</v>
      </c>
    </row>
    <row r="13" spans="1:3" x14ac:dyDescent="0.4">
      <c r="A13" s="2" t="s">
        <v>9</v>
      </c>
      <c r="B13" s="2" t="s">
        <v>319</v>
      </c>
      <c r="C13" s="2" t="s">
        <v>354</v>
      </c>
    </row>
    <row r="14" spans="1:3" x14ac:dyDescent="0.4">
      <c r="A14" s="2" t="s">
        <v>10</v>
      </c>
      <c r="B14" s="2" t="s">
        <v>319</v>
      </c>
      <c r="C14" s="2" t="s">
        <v>348</v>
      </c>
    </row>
    <row r="15" spans="1:3" x14ac:dyDescent="0.4">
      <c r="A15" s="2" t="s">
        <v>73</v>
      </c>
      <c r="B15" s="2" t="s">
        <v>319</v>
      </c>
      <c r="C15" s="2" t="s">
        <v>349</v>
      </c>
    </row>
    <row r="16" spans="1:3" x14ac:dyDescent="0.4">
      <c r="A16" s="2" t="s">
        <v>74</v>
      </c>
      <c r="B16" s="2" t="s">
        <v>319</v>
      </c>
      <c r="C16" s="2" t="s">
        <v>350</v>
      </c>
    </row>
    <row r="17" spans="1:3" x14ac:dyDescent="0.4">
      <c r="A17" s="2" t="s">
        <v>75</v>
      </c>
      <c r="B17" s="2" t="s">
        <v>319</v>
      </c>
      <c r="C17" s="2" t="s">
        <v>353</v>
      </c>
    </row>
    <row r="18" spans="1:3" x14ac:dyDescent="0.4">
      <c r="A18" s="2" t="s">
        <v>76</v>
      </c>
      <c r="B18" s="2" t="s">
        <v>319</v>
      </c>
      <c r="C18" s="2" t="s">
        <v>351</v>
      </c>
    </row>
    <row r="19" spans="1:3" x14ac:dyDescent="0.4">
      <c r="A19" s="2" t="s">
        <v>77</v>
      </c>
      <c r="B19" s="2" t="s">
        <v>319</v>
      </c>
      <c r="C19" s="2" t="s">
        <v>352</v>
      </c>
    </row>
    <row r="20" spans="1:3" x14ac:dyDescent="0.4">
      <c r="A20" s="2" t="s">
        <v>11</v>
      </c>
      <c r="B20" s="2" t="s">
        <v>325</v>
      </c>
      <c r="C20" s="2" t="s">
        <v>344</v>
      </c>
    </row>
    <row r="21" spans="1:3" x14ac:dyDescent="0.4">
      <c r="A21" s="2" t="s">
        <v>12</v>
      </c>
      <c r="B21" s="2" t="s">
        <v>319</v>
      </c>
      <c r="C21" s="2" t="s">
        <v>334</v>
      </c>
    </row>
    <row r="22" spans="1:3" x14ac:dyDescent="0.4">
      <c r="A22" s="2" t="s">
        <v>13</v>
      </c>
      <c r="B22" s="2" t="s">
        <v>325</v>
      </c>
      <c r="C22" s="2" t="s">
        <v>345</v>
      </c>
    </row>
    <row r="23" spans="1:3" x14ac:dyDescent="0.4">
      <c r="A23" s="2" t="s">
        <v>14</v>
      </c>
      <c r="B23" s="2" t="s">
        <v>317</v>
      </c>
      <c r="C23" s="2" t="s">
        <v>346</v>
      </c>
    </row>
    <row r="24" spans="1:3" x14ac:dyDescent="0.4">
      <c r="A24" s="2" t="s">
        <v>15</v>
      </c>
      <c r="B24" s="2" t="s">
        <v>319</v>
      </c>
      <c r="C24" s="2" t="s">
        <v>361</v>
      </c>
    </row>
    <row r="25" spans="1:3" x14ac:dyDescent="0.4">
      <c r="A25" s="2" t="s">
        <v>16</v>
      </c>
      <c r="B25" s="2" t="s">
        <v>317</v>
      </c>
      <c r="C25" s="2" t="s">
        <v>336</v>
      </c>
    </row>
    <row r="26" spans="1:3" x14ac:dyDescent="0.4">
      <c r="A26" s="2" t="s">
        <v>17</v>
      </c>
      <c r="B26" s="2" t="s">
        <v>319</v>
      </c>
      <c r="C26" s="2" t="s">
        <v>343</v>
      </c>
    </row>
    <row r="27" spans="1:3" x14ac:dyDescent="0.4">
      <c r="A27" s="2" t="s">
        <v>18</v>
      </c>
      <c r="B27" s="2" t="s">
        <v>319</v>
      </c>
      <c r="C27" s="2" t="s">
        <v>355</v>
      </c>
    </row>
    <row r="28" spans="1:3" x14ac:dyDescent="0.4">
      <c r="A28" s="2" t="s">
        <v>19</v>
      </c>
      <c r="B28" s="2" t="s">
        <v>325</v>
      </c>
      <c r="C28" s="2" t="s">
        <v>362</v>
      </c>
    </row>
    <row r="29" spans="1:3" x14ac:dyDescent="0.4">
      <c r="A29" s="2" t="s">
        <v>20</v>
      </c>
      <c r="B29" s="2" t="s">
        <v>319</v>
      </c>
      <c r="C29" s="2" t="s">
        <v>334</v>
      </c>
    </row>
    <row r="30" spans="1:3" x14ac:dyDescent="0.4">
      <c r="A30" s="2" t="s">
        <v>21</v>
      </c>
      <c r="B30" s="2" t="s">
        <v>325</v>
      </c>
      <c r="C30" s="2" t="s">
        <v>363</v>
      </c>
    </row>
    <row r="31" spans="1:3" x14ac:dyDescent="0.4">
      <c r="A31" s="2" t="s">
        <v>22</v>
      </c>
      <c r="B31" s="2" t="s">
        <v>317</v>
      </c>
      <c r="C31" s="2" t="s">
        <v>356</v>
      </c>
    </row>
    <row r="32" spans="1:3" x14ac:dyDescent="0.4">
      <c r="A32" s="2" t="s">
        <v>23</v>
      </c>
      <c r="B32" s="2" t="s">
        <v>319</v>
      </c>
      <c r="C32" s="2" t="s">
        <v>360</v>
      </c>
    </row>
    <row r="33" spans="1:3" x14ac:dyDescent="0.4">
      <c r="A33" s="2" t="s">
        <v>24</v>
      </c>
      <c r="B33" s="2" t="s">
        <v>317</v>
      </c>
      <c r="C33" s="2" t="s">
        <v>357</v>
      </c>
    </row>
    <row r="34" spans="1:3" x14ac:dyDescent="0.4">
      <c r="A34" s="2" t="s">
        <v>25</v>
      </c>
      <c r="B34" s="2" t="s">
        <v>319</v>
      </c>
      <c r="C34" s="2" t="s">
        <v>358</v>
      </c>
    </row>
    <row r="35" spans="1:3" x14ac:dyDescent="0.4">
      <c r="A35" s="2" t="s">
        <v>26</v>
      </c>
      <c r="B35" s="2" t="s">
        <v>319</v>
      </c>
      <c r="C35" s="2" t="s">
        <v>359</v>
      </c>
    </row>
    <row r="36" spans="1:3" x14ac:dyDescent="0.4">
      <c r="A36" s="2" t="s">
        <v>27</v>
      </c>
      <c r="B36" s="2" t="s">
        <v>325</v>
      </c>
      <c r="C36" s="2" t="s">
        <v>364</v>
      </c>
    </row>
    <row r="37" spans="1:3" x14ac:dyDescent="0.4">
      <c r="A37" s="2" t="s">
        <v>28</v>
      </c>
      <c r="B37" s="2" t="s">
        <v>325</v>
      </c>
      <c r="C37" s="2" t="s">
        <v>365</v>
      </c>
    </row>
    <row r="38" spans="1:3" x14ac:dyDescent="0.4">
      <c r="A38" s="2" t="s">
        <v>29</v>
      </c>
      <c r="B38" s="2" t="s">
        <v>325</v>
      </c>
      <c r="C38" s="2" t="s">
        <v>366</v>
      </c>
    </row>
    <row r="39" spans="1:3" x14ac:dyDescent="0.4">
      <c r="A39" s="2" t="s">
        <v>30</v>
      </c>
      <c r="B39" s="2" t="s">
        <v>319</v>
      </c>
      <c r="C39" s="2" t="s">
        <v>367</v>
      </c>
    </row>
    <row r="40" spans="1:3" x14ac:dyDescent="0.4">
      <c r="A40" s="2" t="s">
        <v>31</v>
      </c>
      <c r="B40" s="2" t="s">
        <v>322</v>
      </c>
      <c r="C40" s="2" t="s">
        <v>368</v>
      </c>
    </row>
    <row r="41" spans="1:3" x14ac:dyDescent="0.4">
      <c r="A41" s="2" t="s">
        <v>32</v>
      </c>
      <c r="B41" s="2" t="s">
        <v>322</v>
      </c>
      <c r="C41" s="2" t="s">
        <v>369</v>
      </c>
    </row>
    <row r="42" spans="1:3" x14ac:dyDescent="0.4">
      <c r="A42" s="2" t="s">
        <v>33</v>
      </c>
      <c r="B42" s="2" t="s">
        <v>322</v>
      </c>
      <c r="C42" s="2" t="s">
        <v>369</v>
      </c>
    </row>
    <row r="43" spans="1:3" x14ac:dyDescent="0.4">
      <c r="A43" s="2" t="s">
        <v>34</v>
      </c>
      <c r="B43" s="2" t="s">
        <v>322</v>
      </c>
      <c r="C43" s="2" t="s">
        <v>369</v>
      </c>
    </row>
    <row r="44" spans="1:3" x14ac:dyDescent="0.4">
      <c r="A44" s="2" t="s">
        <v>35</v>
      </c>
      <c r="B44" s="2" t="s">
        <v>322</v>
      </c>
      <c r="C44" s="2" t="s">
        <v>369</v>
      </c>
    </row>
    <row r="45" spans="1:3" x14ac:dyDescent="0.4">
      <c r="A45" s="2" t="s">
        <v>36</v>
      </c>
      <c r="B45" s="2" t="s">
        <v>322</v>
      </c>
      <c r="C45" s="2" t="s">
        <v>369</v>
      </c>
    </row>
    <row r="46" spans="1:3" x14ac:dyDescent="0.4">
      <c r="A46" s="2" t="s">
        <v>37</v>
      </c>
      <c r="B46" s="2" t="s">
        <v>322</v>
      </c>
      <c r="C46" s="2" t="s">
        <v>369</v>
      </c>
    </row>
    <row r="47" spans="1:3" x14ac:dyDescent="0.4">
      <c r="A47" s="2" t="s">
        <v>38</v>
      </c>
      <c r="B47" s="2" t="s">
        <v>322</v>
      </c>
      <c r="C47" s="2" t="s">
        <v>369</v>
      </c>
    </row>
    <row r="48" spans="1:3" x14ac:dyDescent="0.4">
      <c r="A48" s="2" t="s">
        <v>39</v>
      </c>
      <c r="B48" s="2" t="s">
        <v>322</v>
      </c>
      <c r="C48" s="2" t="s">
        <v>369</v>
      </c>
    </row>
    <row r="49" spans="1:3" x14ac:dyDescent="0.4">
      <c r="A49" s="2" t="s">
        <v>40</v>
      </c>
      <c r="B49" s="2" t="s">
        <v>322</v>
      </c>
      <c r="C49" s="2" t="s">
        <v>369</v>
      </c>
    </row>
    <row r="50" spans="1:3" x14ac:dyDescent="0.4">
      <c r="A50" s="2" t="s">
        <v>41</v>
      </c>
      <c r="B50" s="2" t="s">
        <v>322</v>
      </c>
      <c r="C50" s="2" t="s">
        <v>369</v>
      </c>
    </row>
    <row r="51" spans="1:3" x14ac:dyDescent="0.4">
      <c r="A51" s="2" t="s">
        <v>42</v>
      </c>
      <c r="B51" s="2" t="s">
        <v>322</v>
      </c>
      <c r="C51" s="2" t="s">
        <v>369</v>
      </c>
    </row>
    <row r="52" spans="1:3" x14ac:dyDescent="0.4">
      <c r="A52" s="2" t="s">
        <v>43</v>
      </c>
      <c r="B52" s="2" t="s">
        <v>322</v>
      </c>
      <c r="C52" s="2" t="s">
        <v>369</v>
      </c>
    </row>
    <row r="53" spans="1:3" x14ac:dyDescent="0.4">
      <c r="A53" s="2" t="s">
        <v>44</v>
      </c>
      <c r="B53" s="2" t="s">
        <v>322</v>
      </c>
      <c r="C53" s="2" t="s">
        <v>369</v>
      </c>
    </row>
    <row r="54" spans="1:3" x14ac:dyDescent="0.4">
      <c r="A54" s="2" t="s">
        <v>45</v>
      </c>
      <c r="B54" s="2" t="s">
        <v>322</v>
      </c>
      <c r="C54" s="2" t="s">
        <v>369</v>
      </c>
    </row>
    <row r="55" spans="1:3" x14ac:dyDescent="0.4">
      <c r="A55" s="2" t="s">
        <v>46</v>
      </c>
      <c r="B55" s="2" t="s">
        <v>322</v>
      </c>
      <c r="C55" s="2" t="s">
        <v>369</v>
      </c>
    </row>
    <row r="56" spans="1:3" x14ac:dyDescent="0.4">
      <c r="A56" s="2" t="s">
        <v>47</v>
      </c>
      <c r="B56" s="2" t="s">
        <v>322</v>
      </c>
      <c r="C56" s="2" t="s">
        <v>369</v>
      </c>
    </row>
    <row r="57" spans="1:3" x14ac:dyDescent="0.4">
      <c r="A57" s="2" t="s">
        <v>48</v>
      </c>
      <c r="B57" s="2" t="s">
        <v>322</v>
      </c>
      <c r="C57" s="2" t="s">
        <v>369</v>
      </c>
    </row>
    <row r="58" spans="1:3" x14ac:dyDescent="0.4">
      <c r="A58" s="2" t="s">
        <v>211</v>
      </c>
      <c r="B58" s="2" t="s">
        <v>322</v>
      </c>
      <c r="C58" s="2" t="s">
        <v>377</v>
      </c>
    </row>
    <row r="59" spans="1:3" x14ac:dyDescent="0.4">
      <c r="A59" s="2" t="s">
        <v>212</v>
      </c>
      <c r="B59" s="2" t="s">
        <v>322</v>
      </c>
      <c r="C59" s="2" t="s">
        <v>369</v>
      </c>
    </row>
    <row r="60" spans="1:3" x14ac:dyDescent="0.4">
      <c r="A60" s="2" t="s">
        <v>49</v>
      </c>
      <c r="B60" s="2" t="s">
        <v>322</v>
      </c>
      <c r="C60" s="2" t="s">
        <v>370</v>
      </c>
    </row>
    <row r="61" spans="1:3" x14ac:dyDescent="0.4">
      <c r="A61" s="2" t="s">
        <v>50</v>
      </c>
      <c r="B61" s="2" t="s">
        <v>322</v>
      </c>
      <c r="C61" s="2" t="s">
        <v>369</v>
      </c>
    </row>
    <row r="62" spans="1:3" x14ac:dyDescent="0.4">
      <c r="A62" s="2" t="s">
        <v>51</v>
      </c>
      <c r="B62" s="2" t="s">
        <v>322</v>
      </c>
      <c r="C62" s="2" t="s">
        <v>369</v>
      </c>
    </row>
    <row r="63" spans="1:3" x14ac:dyDescent="0.4">
      <c r="A63" s="2" t="s">
        <v>52</v>
      </c>
      <c r="B63" s="2" t="s">
        <v>325</v>
      </c>
      <c r="C63" s="2" t="s">
        <v>371</v>
      </c>
    </row>
    <row r="64" spans="1:3" x14ac:dyDescent="0.4">
      <c r="A64" s="2" t="s">
        <v>53</v>
      </c>
      <c r="B64" s="2" t="s">
        <v>322</v>
      </c>
      <c r="C64" s="2" t="str">
        <f>"Indicator for a value of "&amp;A63</f>
        <v>Indicator for a value of c_sex</v>
      </c>
    </row>
    <row r="65" spans="1:3" x14ac:dyDescent="0.4">
      <c r="A65" s="2" t="s">
        <v>54</v>
      </c>
      <c r="B65" s="2" t="s">
        <v>322</v>
      </c>
      <c r="C65" s="2" t="s">
        <v>369</v>
      </c>
    </row>
    <row r="66" spans="1:3" x14ac:dyDescent="0.4">
      <c r="A66" s="2" t="s">
        <v>55</v>
      </c>
      <c r="B66" s="2" t="s">
        <v>325</v>
      </c>
      <c r="C66" s="2" t="s">
        <v>372</v>
      </c>
    </row>
    <row r="67" spans="1:3" x14ac:dyDescent="0.4">
      <c r="A67" s="2" t="s">
        <v>56</v>
      </c>
      <c r="B67" s="2" t="s">
        <v>322</v>
      </c>
      <c r="C67" s="2" t="str">
        <f>"Indicator for a value of "&amp;A66</f>
        <v>Indicator for a value of c_race</v>
      </c>
    </row>
    <row r="68" spans="1:3" x14ac:dyDescent="0.4">
      <c r="A68" s="2" t="s">
        <v>57</v>
      </c>
      <c r="B68" s="2" t="s">
        <v>322</v>
      </c>
      <c r="C68" s="2" t="s">
        <v>369</v>
      </c>
    </row>
    <row r="69" spans="1:3" x14ac:dyDescent="0.4">
      <c r="A69" s="2" t="s">
        <v>58</v>
      </c>
      <c r="B69" s="2" t="s">
        <v>322</v>
      </c>
      <c r="C69" s="2" t="s">
        <v>369</v>
      </c>
    </row>
    <row r="70" spans="1:3" x14ac:dyDescent="0.4">
      <c r="A70" s="2" t="s">
        <v>59</v>
      </c>
      <c r="B70" s="2" t="s">
        <v>322</v>
      </c>
      <c r="C70" s="2" t="s">
        <v>369</v>
      </c>
    </row>
    <row r="71" spans="1:3" x14ac:dyDescent="0.4">
      <c r="A71" s="2" t="s">
        <v>60</v>
      </c>
      <c r="B71" s="2" t="s">
        <v>325</v>
      </c>
      <c r="C71" s="2" t="s">
        <v>373</v>
      </c>
    </row>
    <row r="72" spans="1:3" x14ac:dyDescent="0.4">
      <c r="A72" s="2" t="s">
        <v>61</v>
      </c>
      <c r="B72" s="2" t="s">
        <v>322</v>
      </c>
      <c r="C72" s="2" t="str">
        <f>"Indicator for a value of "&amp;A71</f>
        <v>Indicator for a value of c_pro</v>
      </c>
    </row>
    <row r="73" spans="1:3" x14ac:dyDescent="0.4">
      <c r="A73" s="2" t="s">
        <v>62</v>
      </c>
      <c r="B73" s="2" t="s">
        <v>322</v>
      </c>
      <c r="C73" s="2" t="s">
        <v>369</v>
      </c>
    </row>
    <row r="74" spans="1:3" x14ac:dyDescent="0.4">
      <c r="A74" s="2" t="s">
        <v>63</v>
      </c>
      <c r="B74" s="2" t="s">
        <v>322</v>
      </c>
      <c r="C74" s="2" t="s">
        <v>369</v>
      </c>
    </row>
    <row r="75" spans="1:3" x14ac:dyDescent="0.4">
      <c r="A75" s="2" t="s">
        <v>64</v>
      </c>
      <c r="B75" s="2" t="s">
        <v>322</v>
      </c>
      <c r="C75" s="2" t="s">
        <v>369</v>
      </c>
    </row>
    <row r="76" spans="1:3" x14ac:dyDescent="0.4">
      <c r="A76" s="2" t="s">
        <v>65</v>
      </c>
      <c r="B76" s="2" t="s">
        <v>322</v>
      </c>
      <c r="C76" s="2" t="s">
        <v>369</v>
      </c>
    </row>
    <row r="77" spans="1:3" x14ac:dyDescent="0.4">
      <c r="A77" s="2" t="s">
        <v>66</v>
      </c>
      <c r="B77" s="2" t="s">
        <v>322</v>
      </c>
      <c r="C77" s="2" t="s">
        <v>369</v>
      </c>
    </row>
    <row r="78" spans="1:3" x14ac:dyDescent="0.4">
      <c r="A78" s="2" t="s">
        <v>67</v>
      </c>
      <c r="B78" s="2" t="s">
        <v>322</v>
      </c>
      <c r="C78" s="2" t="s">
        <v>369</v>
      </c>
    </row>
    <row r="79" spans="1:3" x14ac:dyDescent="0.4">
      <c r="A79" s="2" t="s">
        <v>68</v>
      </c>
      <c r="B79" s="2" t="s">
        <v>322</v>
      </c>
      <c r="C79" s="2" t="s">
        <v>369</v>
      </c>
    </row>
    <row r="80" spans="1:3" x14ac:dyDescent="0.4">
      <c r="A80" s="2" t="s">
        <v>69</v>
      </c>
      <c r="B80" s="2" t="s">
        <v>322</v>
      </c>
      <c r="C80" s="2" t="s">
        <v>369</v>
      </c>
    </row>
    <row r="81" spans="1:4" x14ac:dyDescent="0.4">
      <c r="A81" s="2" t="s">
        <v>70</v>
      </c>
      <c r="B81" s="2" t="s">
        <v>317</v>
      </c>
      <c r="C81" s="2" t="s">
        <v>374</v>
      </c>
    </row>
    <row r="82" spans="1:4" x14ac:dyDescent="0.4">
      <c r="A82" s="2" t="s">
        <v>72</v>
      </c>
      <c r="B82" s="2" t="s">
        <v>317</v>
      </c>
      <c r="C82" s="2" t="s">
        <v>375</v>
      </c>
    </row>
    <row r="83" spans="1:4" x14ac:dyDescent="0.4">
      <c r="A83" s="2" t="s">
        <v>379</v>
      </c>
      <c r="B83" s="2" t="s">
        <v>322</v>
      </c>
      <c r="C83" s="2" t="s">
        <v>380</v>
      </c>
    </row>
    <row r="84" spans="1:4" x14ac:dyDescent="0.4">
      <c r="A84" s="2" t="s">
        <v>304</v>
      </c>
      <c r="B84" s="2" t="s">
        <v>322</v>
      </c>
      <c r="C84" s="2" t="s">
        <v>393</v>
      </c>
    </row>
    <row r="85" spans="1:4" x14ac:dyDescent="0.4">
      <c r="A85" s="2" t="s">
        <v>79</v>
      </c>
      <c r="B85" s="2" t="str">
        <f t="shared" ref="B85:B116" si="0">VLOOKUP(D85,A:B,2,FALSE)</f>
        <v>binary</v>
      </c>
      <c r="C85" s="2" t="str">
        <f t="shared" ref="C85:C148" si="1">"Opponent version of c_"&amp;MID(A85,3,30)</f>
        <v>Opponent version of c_win</v>
      </c>
      <c r="D85" s="2" t="str">
        <f>"c_"&amp;MID(A85,3,30)</f>
        <v>c_win</v>
      </c>
    </row>
    <row r="86" spans="1:4" x14ac:dyDescent="0.4">
      <c r="A86" s="2" t="s">
        <v>80</v>
      </c>
      <c r="B86" s="2" t="str">
        <f t="shared" si="0"/>
        <v>binary</v>
      </c>
      <c r="C86" s="2" t="str">
        <f t="shared" si="1"/>
        <v>Opponent version of c_vote</v>
      </c>
      <c r="D86" s="2" t="str">
        <f t="shared" ref="D86:D149" si="2">"c_"&amp;MID(A86,3,30)</f>
        <v>c_vote</v>
      </c>
    </row>
    <row r="87" spans="1:4" x14ac:dyDescent="0.4">
      <c r="A87" s="2" t="s">
        <v>81</v>
      </c>
      <c r="B87" s="2" t="str">
        <f t="shared" si="0"/>
        <v>character</v>
      </c>
      <c r="C87" s="2" t="str">
        <f t="shared" si="1"/>
        <v>Opponent version of c_party</v>
      </c>
      <c r="D87" s="2" t="str">
        <f t="shared" si="2"/>
        <v>c_party</v>
      </c>
    </row>
    <row r="88" spans="1:4" x14ac:dyDescent="0.4">
      <c r="A88" s="2" t="s">
        <v>82</v>
      </c>
      <c r="B88" s="2" t="str">
        <f t="shared" si="0"/>
        <v>character</v>
      </c>
      <c r="C88" s="2" t="str">
        <f t="shared" si="1"/>
        <v>Opponent version of c_Party</v>
      </c>
      <c r="D88" s="2" t="str">
        <f t="shared" si="2"/>
        <v>c_Party</v>
      </c>
    </row>
    <row r="89" spans="1:4" x14ac:dyDescent="0.4">
      <c r="A89" s="2" t="s">
        <v>83</v>
      </c>
      <c r="B89" s="2" t="str">
        <f t="shared" si="0"/>
        <v>numeric</v>
      </c>
      <c r="C89" s="2" t="str">
        <f t="shared" si="1"/>
        <v>Opponent version of c_prox</v>
      </c>
      <c r="D89" s="2" t="str">
        <f t="shared" si="2"/>
        <v>c_prox</v>
      </c>
    </row>
    <row r="90" spans="1:4" x14ac:dyDescent="0.4">
      <c r="A90" s="2" t="s">
        <v>84</v>
      </c>
      <c r="B90" s="2" t="str">
        <f t="shared" si="0"/>
        <v>numeric</v>
      </c>
      <c r="C90" s="2" t="str">
        <f t="shared" si="1"/>
        <v>Opponent version of c_proxSq</v>
      </c>
      <c r="D90" s="2" t="str">
        <f t="shared" si="2"/>
        <v>c_proxSq</v>
      </c>
    </row>
    <row r="91" spans="1:4" x14ac:dyDescent="0.4">
      <c r="A91" s="2" t="s">
        <v>85</v>
      </c>
      <c r="B91" s="2" t="str">
        <f t="shared" si="0"/>
        <v>numeric</v>
      </c>
      <c r="C91" s="2" t="str">
        <f t="shared" si="1"/>
        <v>Opponent version of c_distance</v>
      </c>
      <c r="D91" s="2" t="str">
        <f t="shared" si="2"/>
        <v>c_distance</v>
      </c>
    </row>
    <row r="92" spans="1:4" x14ac:dyDescent="0.4">
      <c r="A92" s="2" t="s">
        <v>148</v>
      </c>
      <c r="B92" s="2" t="str">
        <f t="shared" si="0"/>
        <v>numeric</v>
      </c>
      <c r="C92" s="2" t="str">
        <f t="shared" si="1"/>
        <v>Opponent version of c_pRate</v>
      </c>
      <c r="D92" s="2" t="str">
        <f t="shared" si="2"/>
        <v>c_pRate</v>
      </c>
    </row>
    <row r="93" spans="1:4" x14ac:dyDescent="0.4">
      <c r="A93" s="2" t="s">
        <v>149</v>
      </c>
      <c r="B93" s="2" t="str">
        <f t="shared" si="0"/>
        <v>numeric</v>
      </c>
      <c r="C93" s="2" t="str">
        <f t="shared" si="1"/>
        <v>Opponent version of c_pRank</v>
      </c>
      <c r="D93" s="2" t="str">
        <f t="shared" si="2"/>
        <v>c_pRank</v>
      </c>
    </row>
    <row r="94" spans="1:4" x14ac:dyDescent="0.4">
      <c r="A94" s="2" t="s">
        <v>150</v>
      </c>
      <c r="B94" s="2" t="str">
        <f t="shared" si="0"/>
        <v>numeric</v>
      </c>
      <c r="C94" s="2" t="str">
        <f t="shared" si="1"/>
        <v>Opponent version of c_distSq</v>
      </c>
      <c r="D94" s="2" t="str">
        <f t="shared" si="2"/>
        <v>c_distSq</v>
      </c>
    </row>
    <row r="95" spans="1:4" x14ac:dyDescent="0.4">
      <c r="A95" s="2" t="s">
        <v>151</v>
      </c>
      <c r="B95" s="2" t="str">
        <f t="shared" si="0"/>
        <v>numeric</v>
      </c>
      <c r="C95" s="2" t="str">
        <f t="shared" si="1"/>
        <v>Opponent version of c_pRateSq</v>
      </c>
      <c r="D95" s="2" t="str">
        <f t="shared" si="2"/>
        <v>c_pRateSq</v>
      </c>
    </row>
    <row r="96" spans="1:4" x14ac:dyDescent="0.4">
      <c r="A96" s="2" t="s">
        <v>152</v>
      </c>
      <c r="B96" s="2" t="str">
        <f t="shared" si="0"/>
        <v>numeric</v>
      </c>
      <c r="C96" s="2" t="str">
        <f t="shared" si="1"/>
        <v>Opponent version of c_pRankSq</v>
      </c>
      <c r="D96" s="2" t="str">
        <f t="shared" si="2"/>
        <v>c_pRankSq</v>
      </c>
    </row>
    <row r="97" spans="1:4" x14ac:dyDescent="0.4">
      <c r="A97" s="2" t="s">
        <v>86</v>
      </c>
      <c r="B97" s="2" t="str">
        <f t="shared" si="0"/>
        <v>character</v>
      </c>
      <c r="C97" s="2" t="str">
        <f t="shared" si="1"/>
        <v>Opponent version of c_p1_code</v>
      </c>
      <c r="D97" s="2" t="str">
        <f t="shared" si="2"/>
        <v>c_p1_code</v>
      </c>
    </row>
    <row r="98" spans="1:4" x14ac:dyDescent="0.4">
      <c r="A98" s="2" t="s">
        <v>87</v>
      </c>
      <c r="B98" s="2" t="str">
        <f t="shared" si="0"/>
        <v>numeric</v>
      </c>
      <c r="C98" s="2" t="str">
        <f t="shared" si="1"/>
        <v>Opponent version of c_p1_rate</v>
      </c>
      <c r="D98" s="2" t="str">
        <f t="shared" si="2"/>
        <v>c_p1_rate</v>
      </c>
    </row>
    <row r="99" spans="1:4" x14ac:dyDescent="0.4">
      <c r="A99" s="2" t="s">
        <v>88</v>
      </c>
      <c r="B99" s="2" t="str">
        <f t="shared" si="0"/>
        <v>character</v>
      </c>
      <c r="C99" s="2" t="str">
        <f t="shared" si="1"/>
        <v>Opponent version of c_p1_area</v>
      </c>
      <c r="D99" s="2" t="str">
        <f t="shared" si="2"/>
        <v>c_p1_area</v>
      </c>
    </row>
    <row r="100" spans="1:4" x14ac:dyDescent="0.4">
      <c r="A100" s="2" t="s">
        <v>89</v>
      </c>
      <c r="B100" s="2" t="str">
        <f t="shared" si="0"/>
        <v>integer</v>
      </c>
      <c r="C100" s="2" t="str">
        <f t="shared" si="1"/>
        <v>Opponent version of c_p1_num</v>
      </c>
      <c r="D100" s="2" t="str">
        <f t="shared" si="2"/>
        <v>c_p1_num</v>
      </c>
    </row>
    <row r="101" spans="1:4" x14ac:dyDescent="0.4">
      <c r="A101" s="2" t="s">
        <v>90</v>
      </c>
      <c r="B101" s="2" t="str">
        <f t="shared" si="0"/>
        <v>numeric</v>
      </c>
      <c r="C101" s="2" t="str">
        <f t="shared" si="1"/>
        <v>Opponent version of c_p1_imp</v>
      </c>
      <c r="D101" s="2" t="str">
        <f t="shared" si="2"/>
        <v>c_p1_imp</v>
      </c>
    </row>
    <row r="102" spans="1:4" x14ac:dyDescent="0.4">
      <c r="A102" s="2" t="s">
        <v>91</v>
      </c>
      <c r="B102" s="2" t="str">
        <f t="shared" si="0"/>
        <v>integer</v>
      </c>
      <c r="C102" s="2" t="str">
        <f t="shared" si="1"/>
        <v>Opponent version of c_p1_ideal</v>
      </c>
      <c r="D102" s="2" t="str">
        <f t="shared" si="2"/>
        <v>c_p1_ideal</v>
      </c>
    </row>
    <row r="103" spans="1:4" x14ac:dyDescent="0.4">
      <c r="A103" s="2" t="s">
        <v>92</v>
      </c>
      <c r="B103" s="2" t="str">
        <f t="shared" si="0"/>
        <v>numeric</v>
      </c>
      <c r="C103" s="2" t="str">
        <f t="shared" si="1"/>
        <v>Opponent version of c_p1_rank</v>
      </c>
      <c r="D103" s="2" t="str">
        <f t="shared" si="2"/>
        <v>c_p1_rank</v>
      </c>
    </row>
    <row r="104" spans="1:4" x14ac:dyDescent="0.4">
      <c r="A104" s="2" t="s">
        <v>93</v>
      </c>
      <c r="B104" s="2" t="str">
        <f t="shared" si="0"/>
        <v>numeric</v>
      </c>
      <c r="C104" s="2" t="str">
        <f t="shared" si="1"/>
        <v>Opponent version of c_p1_distance</v>
      </c>
      <c r="D104" s="2" t="str">
        <f t="shared" si="2"/>
        <v>c_p1_distance</v>
      </c>
    </row>
    <row r="105" spans="1:4" x14ac:dyDescent="0.4">
      <c r="A105" s="2" t="s">
        <v>94</v>
      </c>
      <c r="B105" s="2" t="str">
        <f t="shared" si="0"/>
        <v>character</v>
      </c>
      <c r="C105" s="2" t="str">
        <f t="shared" si="1"/>
        <v>Opponent version of c_p2_code</v>
      </c>
      <c r="D105" s="2" t="str">
        <f t="shared" si="2"/>
        <v>c_p2_code</v>
      </c>
    </row>
    <row r="106" spans="1:4" x14ac:dyDescent="0.4">
      <c r="A106" s="2" t="s">
        <v>95</v>
      </c>
      <c r="B106" s="2" t="str">
        <f t="shared" si="0"/>
        <v>numeric</v>
      </c>
      <c r="C106" s="2" t="str">
        <f t="shared" si="1"/>
        <v>Opponent version of c_p2_rate</v>
      </c>
      <c r="D106" s="2" t="str">
        <f t="shared" si="2"/>
        <v>c_p2_rate</v>
      </c>
    </row>
    <row r="107" spans="1:4" x14ac:dyDescent="0.4">
      <c r="A107" s="2" t="s">
        <v>96</v>
      </c>
      <c r="B107" s="2" t="str">
        <f t="shared" si="0"/>
        <v>character</v>
      </c>
      <c r="C107" s="2" t="str">
        <f t="shared" si="1"/>
        <v>Opponent version of c_p2_area</v>
      </c>
      <c r="D107" s="2" t="str">
        <f t="shared" si="2"/>
        <v>c_p2_area</v>
      </c>
    </row>
    <row r="108" spans="1:4" x14ac:dyDescent="0.4">
      <c r="A108" s="2" t="s">
        <v>97</v>
      </c>
      <c r="B108" s="2" t="str">
        <f t="shared" si="0"/>
        <v>integer</v>
      </c>
      <c r="C108" s="2" t="str">
        <f t="shared" si="1"/>
        <v>Opponent version of c_p2_num</v>
      </c>
      <c r="D108" s="2" t="str">
        <f t="shared" si="2"/>
        <v>c_p2_num</v>
      </c>
    </row>
    <row r="109" spans="1:4" x14ac:dyDescent="0.4">
      <c r="A109" s="2" t="s">
        <v>98</v>
      </c>
      <c r="B109" s="2" t="str">
        <f t="shared" si="0"/>
        <v>numeric</v>
      </c>
      <c r="C109" s="2" t="str">
        <f t="shared" si="1"/>
        <v>Opponent version of c_p2_imp</v>
      </c>
      <c r="D109" s="2" t="str">
        <f t="shared" si="2"/>
        <v>c_p2_imp</v>
      </c>
    </row>
    <row r="110" spans="1:4" x14ac:dyDescent="0.4">
      <c r="A110" s="2" t="s">
        <v>99</v>
      </c>
      <c r="B110" s="2" t="str">
        <f t="shared" si="0"/>
        <v>integer</v>
      </c>
      <c r="C110" s="2" t="str">
        <f t="shared" si="1"/>
        <v>Opponent version of c_p2_ideal</v>
      </c>
      <c r="D110" s="2" t="str">
        <f t="shared" si="2"/>
        <v>c_p2_ideal</v>
      </c>
    </row>
    <row r="111" spans="1:4" x14ac:dyDescent="0.4">
      <c r="A111" s="2" t="s">
        <v>100</v>
      </c>
      <c r="B111" s="2" t="str">
        <f t="shared" si="0"/>
        <v>numeric</v>
      </c>
      <c r="C111" s="2" t="str">
        <f t="shared" si="1"/>
        <v>Opponent version of c_p2_rank</v>
      </c>
      <c r="D111" s="2" t="str">
        <f t="shared" si="2"/>
        <v>c_p2_rank</v>
      </c>
    </row>
    <row r="112" spans="1:4" x14ac:dyDescent="0.4">
      <c r="A112" s="2" t="s">
        <v>101</v>
      </c>
      <c r="B112" s="2" t="str">
        <f t="shared" si="0"/>
        <v>numeric</v>
      </c>
      <c r="C112" s="2" t="str">
        <f t="shared" si="1"/>
        <v>Opponent version of c_p2_distance</v>
      </c>
      <c r="D112" s="2" t="str">
        <f t="shared" si="2"/>
        <v>c_p2_distance</v>
      </c>
    </row>
    <row r="113" spans="1:4" x14ac:dyDescent="0.4">
      <c r="A113" s="2" t="s">
        <v>102</v>
      </c>
      <c r="B113" s="2" t="str">
        <f t="shared" si="0"/>
        <v>character</v>
      </c>
      <c r="C113" s="2" t="str">
        <f t="shared" si="1"/>
        <v>Opponent version of c_dem_code</v>
      </c>
      <c r="D113" s="2" t="str">
        <f t="shared" si="2"/>
        <v>c_dem_code</v>
      </c>
    </row>
    <row r="114" spans="1:4" x14ac:dyDescent="0.4">
      <c r="A114" s="2" t="s">
        <v>103</v>
      </c>
      <c r="B114" s="2" t="str">
        <f t="shared" si="0"/>
        <v>character</v>
      </c>
      <c r="C114" s="2" t="str">
        <f t="shared" si="1"/>
        <v>Opponent version of c_dem_type</v>
      </c>
      <c r="D114" s="2" t="str">
        <f t="shared" si="2"/>
        <v>c_dem_type</v>
      </c>
    </row>
    <row r="115" spans="1:4" x14ac:dyDescent="0.4">
      <c r="A115" s="2" t="s">
        <v>104</v>
      </c>
      <c r="B115" s="2" t="str">
        <f t="shared" si="0"/>
        <v>character</v>
      </c>
      <c r="C115" s="2" t="str">
        <f t="shared" si="1"/>
        <v>Opponent version of c_dem_codeLR</v>
      </c>
      <c r="D115" s="2" t="str">
        <f t="shared" si="2"/>
        <v>c_dem_codeLR</v>
      </c>
    </row>
    <row r="116" spans="1:4" x14ac:dyDescent="0.4">
      <c r="A116" s="2" t="s">
        <v>105</v>
      </c>
      <c r="B116" s="2" t="str">
        <f t="shared" si="0"/>
        <v>numeric</v>
      </c>
      <c r="C116" s="2" t="str">
        <f t="shared" si="1"/>
        <v>Opponent version of c_dem_rate</v>
      </c>
      <c r="D116" s="2" t="str">
        <f t="shared" si="2"/>
        <v>c_dem_rate</v>
      </c>
    </row>
    <row r="117" spans="1:4" x14ac:dyDescent="0.4">
      <c r="A117" s="2" t="s">
        <v>106</v>
      </c>
      <c r="B117" s="2" t="str">
        <f t="shared" ref="B117:B148" si="3">VLOOKUP(D117,A:B,2,FALSE)</f>
        <v>binary</v>
      </c>
      <c r="C117" s="2" t="str">
        <f t="shared" si="1"/>
        <v>Opponent version of c_dem_code_g_schedule</v>
      </c>
      <c r="D117" s="2" t="str">
        <f t="shared" si="2"/>
        <v>c_dem_code_g_schedule</v>
      </c>
    </row>
    <row r="118" spans="1:4" x14ac:dyDescent="0.4">
      <c r="A118" s="2" t="s">
        <v>107</v>
      </c>
      <c r="B118" s="2" t="str">
        <f t="shared" si="3"/>
        <v>binary</v>
      </c>
      <c r="C118" s="2" t="str">
        <f t="shared" si="1"/>
        <v>Opponent version of c_dem_code_u_gerry10</v>
      </c>
      <c r="D118" s="2" t="str">
        <f t="shared" si="2"/>
        <v>c_dem_code_u_gerry10</v>
      </c>
    </row>
    <row r="119" spans="1:4" x14ac:dyDescent="0.4">
      <c r="A119" s="2" t="s">
        <v>108</v>
      </c>
      <c r="B119" s="2" t="str">
        <f t="shared" si="3"/>
        <v>binary</v>
      </c>
      <c r="C119" s="2" t="str">
        <f t="shared" si="1"/>
        <v>Opponent version of c_dem_code_g_boardElect</v>
      </c>
      <c r="D119" s="2" t="str">
        <f t="shared" si="2"/>
        <v>c_dem_code_g_boardElect</v>
      </c>
    </row>
    <row r="120" spans="1:4" x14ac:dyDescent="0.4">
      <c r="A120" s="2" t="s">
        <v>109</v>
      </c>
      <c r="B120" s="2" t="str">
        <f t="shared" si="3"/>
        <v>binary</v>
      </c>
      <c r="C120" s="2" t="str">
        <f t="shared" si="1"/>
        <v>Opponent version of c_dem_code_g_record</v>
      </c>
      <c r="D120" s="2" t="str">
        <f t="shared" si="2"/>
        <v>c_dem_code_g_record</v>
      </c>
    </row>
    <row r="121" spans="1:4" x14ac:dyDescent="0.4">
      <c r="A121" s="2" t="s">
        <v>110</v>
      </c>
      <c r="B121" s="2" t="str">
        <f t="shared" si="3"/>
        <v>binary</v>
      </c>
      <c r="C121" s="2" t="str">
        <f t="shared" si="1"/>
        <v>Opponent version of c_dem_code_g_procedure</v>
      </c>
      <c r="D121" s="2" t="str">
        <f t="shared" si="2"/>
        <v>c_dem_code_g_procedure</v>
      </c>
    </row>
    <row r="122" spans="1:4" x14ac:dyDescent="0.4">
      <c r="A122" s="2" t="s">
        <v>111</v>
      </c>
      <c r="B122" s="2" t="str">
        <f t="shared" si="3"/>
        <v>binary</v>
      </c>
      <c r="C122" s="2" t="str">
        <f t="shared" si="1"/>
        <v>Opponent version of c_dem_code_u_limitVote</v>
      </c>
      <c r="D122" s="2" t="str">
        <f t="shared" si="2"/>
        <v>c_dem_code_u_limitVote</v>
      </c>
    </row>
    <row r="123" spans="1:4" x14ac:dyDescent="0.4">
      <c r="A123" s="2" t="s">
        <v>112</v>
      </c>
      <c r="B123" s="2" t="str">
        <f t="shared" si="3"/>
        <v>binary</v>
      </c>
      <c r="C123" s="2" t="str">
        <f t="shared" si="1"/>
        <v>Opponent version of c_dem_code_u_execRule</v>
      </c>
      <c r="D123" s="2" t="str">
        <f t="shared" si="2"/>
        <v>c_dem_code_u_execRule</v>
      </c>
    </row>
    <row r="124" spans="1:4" x14ac:dyDescent="0.4">
      <c r="A124" s="2" t="s">
        <v>113</v>
      </c>
      <c r="B124" s="2" t="str">
        <f t="shared" si="3"/>
        <v>binary</v>
      </c>
      <c r="C124" s="2" t="str">
        <f t="shared" si="1"/>
        <v>Opponent version of c_dem_code_g_progEval</v>
      </c>
      <c r="D124" s="2" t="str">
        <f t="shared" si="2"/>
        <v>c_dem_code_g_progEval</v>
      </c>
    </row>
    <row r="125" spans="1:4" x14ac:dyDescent="0.4">
      <c r="A125" s="2" t="s">
        <v>114</v>
      </c>
      <c r="B125" s="2" t="str">
        <f t="shared" si="3"/>
        <v>binary</v>
      </c>
      <c r="C125" s="2" t="str">
        <f t="shared" si="1"/>
        <v>Opponent version of c_dem_code_v_tax</v>
      </c>
      <c r="D125" s="2" t="str">
        <f t="shared" si="2"/>
        <v>c_dem_code_v_tax</v>
      </c>
    </row>
    <row r="126" spans="1:4" x14ac:dyDescent="0.4">
      <c r="A126" s="2" t="s">
        <v>115</v>
      </c>
      <c r="B126" s="2" t="str">
        <f t="shared" si="3"/>
        <v>binary</v>
      </c>
      <c r="C126" s="2" t="str">
        <f t="shared" si="1"/>
        <v>Opponent version of c_dem_code_v_affair</v>
      </c>
      <c r="D126" s="2" t="str">
        <f t="shared" si="2"/>
        <v>c_dem_code_v_affair</v>
      </c>
    </row>
    <row r="127" spans="1:4" x14ac:dyDescent="0.4">
      <c r="A127" s="2" t="s">
        <v>116</v>
      </c>
      <c r="B127" s="2" t="str">
        <f t="shared" si="3"/>
        <v>binary</v>
      </c>
      <c r="C127" s="2" t="str">
        <f t="shared" si="1"/>
        <v>Opponent version of c_dem_code_g_officestructure</v>
      </c>
      <c r="D127" s="2" t="str">
        <f t="shared" si="2"/>
        <v>c_dem_code_g_officestructure</v>
      </c>
    </row>
    <row r="128" spans="1:4" x14ac:dyDescent="0.4">
      <c r="A128" s="2" t="s">
        <v>117</v>
      </c>
      <c r="B128" s="2" t="str">
        <f t="shared" si="3"/>
        <v>binary</v>
      </c>
      <c r="C128" s="2" t="str">
        <f t="shared" si="1"/>
        <v>Opponent version of c_dem_code_u_banProtest</v>
      </c>
      <c r="D128" s="2" t="str">
        <f t="shared" si="2"/>
        <v>c_dem_code_u_banProtest</v>
      </c>
    </row>
    <row r="129" spans="1:4" x14ac:dyDescent="0.4">
      <c r="A129" s="2" t="s">
        <v>118</v>
      </c>
      <c r="B129" s="2" t="str">
        <f t="shared" si="3"/>
        <v>binary</v>
      </c>
      <c r="C129" s="2" t="str">
        <f t="shared" si="1"/>
        <v>Opponent version of c_dem_code_u_gerry2</v>
      </c>
      <c r="D129" s="2" t="str">
        <f t="shared" si="2"/>
        <v>c_dem_code_u_gerry2</v>
      </c>
    </row>
    <row r="130" spans="1:4" x14ac:dyDescent="0.4">
      <c r="A130" s="2" t="s">
        <v>119</v>
      </c>
      <c r="B130" s="2" t="str">
        <f t="shared" si="3"/>
        <v>binary</v>
      </c>
      <c r="C130" s="2" t="str">
        <f t="shared" si="1"/>
        <v>Opponent version of c_dem_code_u_journalists</v>
      </c>
      <c r="D130" s="2" t="str">
        <f t="shared" si="2"/>
        <v>c_dem_code_u_journalists</v>
      </c>
    </row>
    <row r="131" spans="1:4" x14ac:dyDescent="0.4">
      <c r="A131" s="2" t="s">
        <v>120</v>
      </c>
      <c r="B131" s="2" t="str">
        <f t="shared" si="3"/>
        <v>binary</v>
      </c>
      <c r="C131" s="2" t="str">
        <f t="shared" si="1"/>
        <v>Opponent version of c_dem_code_g_committee</v>
      </c>
      <c r="D131" s="2" t="str">
        <f t="shared" si="2"/>
        <v>c_dem_code_g_committee</v>
      </c>
    </row>
    <row r="132" spans="1:4" x14ac:dyDescent="0.4">
      <c r="A132" s="2" t="s">
        <v>121</v>
      </c>
      <c r="B132" s="2" t="str">
        <f t="shared" si="3"/>
        <v>binary</v>
      </c>
      <c r="C132" s="2" t="str">
        <f t="shared" si="1"/>
        <v>Opponent version of c_dem_code_u_court</v>
      </c>
      <c r="D132" s="2" t="str">
        <f t="shared" si="2"/>
        <v>c_dem_code_u_court</v>
      </c>
    </row>
    <row r="133" spans="1:4" x14ac:dyDescent="0.4">
      <c r="A133" s="2" t="s">
        <v>122</v>
      </c>
      <c r="B133" s="2" t="str">
        <f t="shared" si="3"/>
        <v>binary</v>
      </c>
      <c r="C133" s="2" t="str">
        <f t="shared" si="1"/>
        <v>Opponent version of c_dem_code_u_gerry10_non</v>
      </c>
      <c r="D133" s="2" t="str">
        <f t="shared" si="2"/>
        <v>c_dem_code_u_gerry10_non</v>
      </c>
    </row>
    <row r="134" spans="1:4" x14ac:dyDescent="0.4">
      <c r="A134" s="2" t="s">
        <v>123</v>
      </c>
      <c r="B134" s="2" t="str">
        <f t="shared" si="3"/>
        <v>binary</v>
      </c>
      <c r="C134" s="2" t="str">
        <f t="shared" si="1"/>
        <v>Opponent version of c_dem_code_u_gerry2_non</v>
      </c>
      <c r="D134" s="2" t="str">
        <f t="shared" si="2"/>
        <v>c_dem_code_u_gerry2_non</v>
      </c>
    </row>
    <row r="135" spans="1:4" x14ac:dyDescent="0.4">
      <c r="A135" s="2" t="s">
        <v>213</v>
      </c>
      <c r="B135" s="2" t="str">
        <f t="shared" si="3"/>
        <v>binary</v>
      </c>
      <c r="C135" s="2" t="str">
        <f t="shared" si="1"/>
        <v>Opponent version of c_dem_code_u_banLeftProtest</v>
      </c>
      <c r="D135" s="2" t="str">
        <f t="shared" si="2"/>
        <v>c_dem_code_u_banLeftProtest</v>
      </c>
    </row>
    <row r="136" spans="1:4" x14ac:dyDescent="0.4">
      <c r="A136" s="2" t="s">
        <v>214</v>
      </c>
      <c r="B136" s="2" t="str">
        <f t="shared" si="3"/>
        <v>binary</v>
      </c>
      <c r="C136" s="2" t="str">
        <f t="shared" si="1"/>
        <v>Opponent version of c_dem_code_u_banRightProtest</v>
      </c>
      <c r="D136" s="2" t="str">
        <f t="shared" si="2"/>
        <v>c_dem_code_u_banRightProtest</v>
      </c>
    </row>
    <row r="137" spans="1:4" x14ac:dyDescent="0.4">
      <c r="A137" s="2" t="s">
        <v>124</v>
      </c>
      <c r="B137" s="2" t="str">
        <f t="shared" si="3"/>
        <v>binary</v>
      </c>
      <c r="C137" s="2" t="str">
        <f t="shared" si="1"/>
        <v>Opponent version of c_dem_type_g</v>
      </c>
      <c r="D137" s="2" t="str">
        <f t="shared" si="2"/>
        <v>c_dem_type_g</v>
      </c>
    </row>
    <row r="138" spans="1:4" x14ac:dyDescent="0.4">
      <c r="A138" s="2" t="s">
        <v>125</v>
      </c>
      <c r="B138" s="2" t="str">
        <f t="shared" si="3"/>
        <v>binary</v>
      </c>
      <c r="C138" s="2" t="str">
        <f t="shared" si="1"/>
        <v>Opponent version of c_dem_type_u</v>
      </c>
      <c r="D138" s="2" t="str">
        <f t="shared" si="2"/>
        <v>c_dem_type_u</v>
      </c>
    </row>
    <row r="139" spans="1:4" x14ac:dyDescent="0.4">
      <c r="A139" s="2" t="s">
        <v>126</v>
      </c>
      <c r="B139" s="2" t="str">
        <f t="shared" si="3"/>
        <v>binary</v>
      </c>
      <c r="C139" s="2" t="str">
        <f t="shared" si="1"/>
        <v>Opponent version of c_dem_type_v</v>
      </c>
      <c r="D139" s="2" t="str">
        <f t="shared" si="2"/>
        <v>c_dem_type_v</v>
      </c>
    </row>
    <row r="140" spans="1:4" x14ac:dyDescent="0.4">
      <c r="A140" s="2" t="s">
        <v>127</v>
      </c>
      <c r="B140" s="2" t="str">
        <f t="shared" si="3"/>
        <v>character</v>
      </c>
      <c r="C140" s="2" t="str">
        <f t="shared" si="1"/>
        <v>Opponent version of c_sex</v>
      </c>
      <c r="D140" s="2" t="str">
        <f t="shared" si="2"/>
        <v>c_sex</v>
      </c>
    </row>
    <row r="141" spans="1:4" x14ac:dyDescent="0.4">
      <c r="A141" s="2" t="s">
        <v>128</v>
      </c>
      <c r="B141" s="2" t="str">
        <f t="shared" si="3"/>
        <v>binary</v>
      </c>
      <c r="C141" s="2" t="str">
        <f t="shared" si="1"/>
        <v>Opponent version of c_sex_Male</v>
      </c>
      <c r="D141" s="2" t="str">
        <f t="shared" si="2"/>
        <v>c_sex_Male</v>
      </c>
    </row>
    <row r="142" spans="1:4" x14ac:dyDescent="0.4">
      <c r="A142" s="2" t="s">
        <v>129</v>
      </c>
      <c r="B142" s="2" t="str">
        <f t="shared" si="3"/>
        <v>binary</v>
      </c>
      <c r="C142" s="2" t="str">
        <f t="shared" si="1"/>
        <v>Opponent version of c_sex_Female</v>
      </c>
      <c r="D142" s="2" t="str">
        <f t="shared" si="2"/>
        <v>c_sex_Female</v>
      </c>
    </row>
    <row r="143" spans="1:4" x14ac:dyDescent="0.4">
      <c r="A143" s="2" t="s">
        <v>130</v>
      </c>
      <c r="B143" s="2" t="str">
        <f t="shared" si="3"/>
        <v>character</v>
      </c>
      <c r="C143" s="2" t="str">
        <f t="shared" si="1"/>
        <v>Opponent version of c_race</v>
      </c>
      <c r="D143" s="2" t="str">
        <f t="shared" si="2"/>
        <v>c_race</v>
      </c>
    </row>
    <row r="144" spans="1:4" x14ac:dyDescent="0.4">
      <c r="A144" s="2" t="s">
        <v>131</v>
      </c>
      <c r="B144" s="2" t="str">
        <f t="shared" si="3"/>
        <v>binary</v>
      </c>
      <c r="C144" s="2" t="str">
        <f t="shared" si="1"/>
        <v>Opponent version of c_race_White</v>
      </c>
      <c r="D144" s="2" t="str">
        <f t="shared" si="2"/>
        <v>c_race_White</v>
      </c>
    </row>
    <row r="145" spans="1:4" x14ac:dyDescent="0.4">
      <c r="A145" s="2" t="s">
        <v>132</v>
      </c>
      <c r="B145" s="2" t="str">
        <f t="shared" si="3"/>
        <v>binary</v>
      </c>
      <c r="C145" s="2" t="str">
        <f t="shared" si="1"/>
        <v>Opponent version of c_race_Black</v>
      </c>
      <c r="D145" s="2" t="str">
        <f t="shared" si="2"/>
        <v>c_race_Black</v>
      </c>
    </row>
    <row r="146" spans="1:4" x14ac:dyDescent="0.4">
      <c r="A146" s="2" t="s">
        <v>133</v>
      </c>
      <c r="B146" s="2" t="str">
        <f t="shared" si="3"/>
        <v>binary</v>
      </c>
      <c r="C146" s="2" t="str">
        <f t="shared" si="1"/>
        <v>Opponent version of c_race_Hispanic</v>
      </c>
      <c r="D146" s="2" t="str">
        <f t="shared" si="2"/>
        <v>c_race_Hispanic</v>
      </c>
    </row>
    <row r="147" spans="1:4" x14ac:dyDescent="0.4">
      <c r="A147" s="2" t="s">
        <v>134</v>
      </c>
      <c r="B147" s="2" t="str">
        <f t="shared" si="3"/>
        <v>binary</v>
      </c>
      <c r="C147" s="2" t="str">
        <f t="shared" si="1"/>
        <v>Opponent version of c_race_Asian</v>
      </c>
      <c r="D147" s="2" t="str">
        <f t="shared" si="2"/>
        <v>c_race_Asian</v>
      </c>
    </row>
    <row r="148" spans="1:4" x14ac:dyDescent="0.4">
      <c r="A148" s="2" t="s">
        <v>135</v>
      </c>
      <c r="B148" s="2" t="str">
        <f t="shared" si="3"/>
        <v>character</v>
      </c>
      <c r="C148" s="2" t="str">
        <f t="shared" si="1"/>
        <v>Opponent version of c_pro</v>
      </c>
      <c r="D148" s="2" t="str">
        <f t="shared" si="2"/>
        <v>c_pro</v>
      </c>
    </row>
    <row r="149" spans="1:4" x14ac:dyDescent="0.4">
      <c r="A149" s="2" t="s">
        <v>136</v>
      </c>
      <c r="B149" s="2" t="str">
        <f t="shared" ref="B149:B180" si="4">VLOOKUP(D149,A:B,2,FALSE)</f>
        <v>binary</v>
      </c>
      <c r="C149" s="2" t="str">
        <f t="shared" ref="C149:C160" si="5">"Opponent version of c_"&amp;MID(A149,3,30)</f>
        <v>Opponent version of c_pro_Legislative_staffer</v>
      </c>
      <c r="D149" s="2" t="str">
        <f t="shared" si="2"/>
        <v>c_pro_Legislative_staffer</v>
      </c>
    </row>
    <row r="150" spans="1:4" x14ac:dyDescent="0.4">
      <c r="A150" s="2" t="s">
        <v>137</v>
      </c>
      <c r="B150" s="2" t="str">
        <f t="shared" si="4"/>
        <v>binary</v>
      </c>
      <c r="C150" s="2" t="str">
        <f t="shared" si="5"/>
        <v>Opponent version of c_pro_Lawyer</v>
      </c>
      <c r="D150" s="2" t="str">
        <f t="shared" ref="D150:D161" si="6">"c_"&amp;MID(A150,3,30)</f>
        <v>c_pro_Lawyer</v>
      </c>
    </row>
    <row r="151" spans="1:4" x14ac:dyDescent="0.4">
      <c r="A151" s="2" t="s">
        <v>138</v>
      </c>
      <c r="B151" s="2" t="str">
        <f t="shared" si="4"/>
        <v>binary</v>
      </c>
      <c r="C151" s="2" t="str">
        <f t="shared" si="5"/>
        <v>Opponent version of c_pro_Small_business_owner</v>
      </c>
      <c r="D151" s="2" t="str">
        <f t="shared" si="6"/>
        <v>c_pro_Small_business_owner</v>
      </c>
    </row>
    <row r="152" spans="1:4" x14ac:dyDescent="0.4">
      <c r="A152" s="2" t="s">
        <v>139</v>
      </c>
      <c r="B152" s="2" t="str">
        <f t="shared" si="4"/>
        <v>binary</v>
      </c>
      <c r="C152" s="2" t="str">
        <f t="shared" si="5"/>
        <v>Opponent version of c_pro_Teacher</v>
      </c>
      <c r="D152" s="2" t="str">
        <f t="shared" si="6"/>
        <v>c_pro_Teacher</v>
      </c>
    </row>
    <row r="153" spans="1:4" x14ac:dyDescent="0.4">
      <c r="A153" s="2" t="s">
        <v>140</v>
      </c>
      <c r="B153" s="2" t="str">
        <f t="shared" si="4"/>
        <v>binary</v>
      </c>
      <c r="C153" s="2" t="str">
        <f t="shared" si="5"/>
        <v>Opponent version of c_pro_Farmer</v>
      </c>
      <c r="D153" s="2" t="str">
        <f t="shared" si="6"/>
        <v>c_pro_Farmer</v>
      </c>
    </row>
    <row r="154" spans="1:4" x14ac:dyDescent="0.4">
      <c r="A154" s="2" t="s">
        <v>141</v>
      </c>
      <c r="B154" s="2" t="str">
        <f t="shared" si="4"/>
        <v>binary</v>
      </c>
      <c r="C154" s="2" t="str">
        <f t="shared" si="5"/>
        <v>Opponent version of c_pro_Police_officer</v>
      </c>
      <c r="D154" s="2" t="str">
        <f t="shared" si="6"/>
        <v>c_pro_Police_officer</v>
      </c>
    </row>
    <row r="155" spans="1:4" x14ac:dyDescent="0.4">
      <c r="A155" s="2" t="s">
        <v>142</v>
      </c>
      <c r="B155" s="2" t="str">
        <f t="shared" si="4"/>
        <v>binary</v>
      </c>
      <c r="C155" s="2" t="str">
        <f t="shared" si="5"/>
        <v>Opponent version of c_pro_Business_executive</v>
      </c>
      <c r="D155" s="2" t="str">
        <f t="shared" si="6"/>
        <v>c_pro_Business_executive</v>
      </c>
    </row>
    <row r="156" spans="1:4" x14ac:dyDescent="0.4">
      <c r="A156" s="2" t="s">
        <v>143</v>
      </c>
      <c r="B156" s="2" t="str">
        <f t="shared" si="4"/>
        <v>binary</v>
      </c>
      <c r="C156" s="2" t="str">
        <f t="shared" si="5"/>
        <v>Opponent version of c_pro_Served_in_the_army</v>
      </c>
      <c r="D156" s="2" t="str">
        <f t="shared" si="6"/>
        <v>c_pro_Served_in_the_army</v>
      </c>
    </row>
    <row r="157" spans="1:4" x14ac:dyDescent="0.4">
      <c r="A157" s="2" t="s">
        <v>144</v>
      </c>
      <c r="B157" s="2" t="str">
        <f t="shared" si="4"/>
        <v>binary</v>
      </c>
      <c r="C157" s="2" t="str">
        <f t="shared" si="5"/>
        <v>Opponent version of c_pro_Served_in_the_navy</v>
      </c>
      <c r="D157" s="2" t="str">
        <f t="shared" si="6"/>
        <v>c_pro_Served_in_the_navy</v>
      </c>
    </row>
    <row r="158" spans="1:4" x14ac:dyDescent="0.4">
      <c r="A158" s="2" t="s">
        <v>145</v>
      </c>
      <c r="B158" s="2" t="str">
        <f t="shared" si="4"/>
        <v>integer</v>
      </c>
      <c r="C158" s="2" t="str">
        <f t="shared" si="5"/>
        <v>Opponent version of c_age</v>
      </c>
      <c r="D158" s="2" t="str">
        <f t="shared" si="6"/>
        <v>c_age</v>
      </c>
    </row>
    <row r="159" spans="1:4" x14ac:dyDescent="0.4">
      <c r="A159" s="2" t="s">
        <v>147</v>
      </c>
      <c r="B159" s="2" t="str">
        <f t="shared" si="4"/>
        <v>integer</v>
      </c>
      <c r="C159" s="2" t="str">
        <f t="shared" si="5"/>
        <v>Opponent version of c_exper</v>
      </c>
      <c r="D159" s="2" t="str">
        <f t="shared" si="6"/>
        <v>c_exper</v>
      </c>
    </row>
    <row r="160" spans="1:4" x14ac:dyDescent="0.4">
      <c r="A160" s="2" t="s">
        <v>378</v>
      </c>
      <c r="B160" s="2" t="str">
        <f t="shared" si="4"/>
        <v>binary</v>
      </c>
      <c r="C160" s="2" t="str">
        <f t="shared" si="5"/>
        <v>Opponent version of c_onLeft</v>
      </c>
      <c r="D160" s="2" t="str">
        <f t="shared" si="6"/>
        <v>c_onLeft</v>
      </c>
    </row>
    <row r="161" spans="1:4" x14ac:dyDescent="0.4">
      <c r="A161" s="2" t="s">
        <v>305</v>
      </c>
      <c r="B161" s="2" t="s">
        <v>322</v>
      </c>
      <c r="C161" s="2" t="s">
        <v>394</v>
      </c>
      <c r="D161" s="2" t="str">
        <f t="shared" si="6"/>
        <v>c_respParty</v>
      </c>
    </row>
    <row r="162" spans="1:4" x14ac:dyDescent="0.4">
      <c r="A162" s="2" t="s">
        <v>154</v>
      </c>
      <c r="B162" s="2" t="s">
        <v>319</v>
      </c>
      <c r="C162" s="2" t="s">
        <v>376</v>
      </c>
    </row>
    <row r="163" spans="1:4" x14ac:dyDescent="0.4">
      <c r="A163" s="2" t="s">
        <v>155</v>
      </c>
      <c r="B163" s="2" t="s">
        <v>319</v>
      </c>
      <c r="C163" s="2" t="s">
        <v>376</v>
      </c>
    </row>
    <row r="164" spans="1:4" x14ac:dyDescent="0.4">
      <c r="A164" s="2" t="s">
        <v>156</v>
      </c>
      <c r="B164" s="2" t="s">
        <v>319</v>
      </c>
      <c r="C164" s="2" t="s">
        <v>376</v>
      </c>
    </row>
    <row r="165" spans="1:4" x14ac:dyDescent="0.4">
      <c r="A165" s="2" t="s">
        <v>206</v>
      </c>
      <c r="B165" s="2" t="s">
        <v>319</v>
      </c>
      <c r="C165" s="2" t="s">
        <v>376</v>
      </c>
    </row>
    <row r="166" spans="1:4" x14ac:dyDescent="0.4">
      <c r="A166" s="2" t="s">
        <v>207</v>
      </c>
      <c r="B166" s="2" t="s">
        <v>319</v>
      </c>
      <c r="C166" s="2" t="s">
        <v>376</v>
      </c>
    </row>
    <row r="167" spans="1:4" x14ac:dyDescent="0.4">
      <c r="A167" s="2" t="s">
        <v>208</v>
      </c>
      <c r="B167" s="2" t="s">
        <v>319</v>
      </c>
      <c r="C167" s="2" t="s">
        <v>376</v>
      </c>
    </row>
    <row r="168" spans="1:4" x14ac:dyDescent="0.4">
      <c r="A168" s="2" t="s">
        <v>209</v>
      </c>
      <c r="B168" s="2" t="s">
        <v>319</v>
      </c>
      <c r="C168" s="2" t="s">
        <v>376</v>
      </c>
    </row>
    <row r="169" spans="1:4" x14ac:dyDescent="0.4">
      <c r="A169" s="2" t="s">
        <v>210</v>
      </c>
      <c r="B169" s="2" t="s">
        <v>319</v>
      </c>
      <c r="C169" s="2" t="s">
        <v>376</v>
      </c>
    </row>
    <row r="170" spans="1:4" x14ac:dyDescent="0.4">
      <c r="A170" s="2" t="s">
        <v>157</v>
      </c>
      <c r="B170" s="2" t="s">
        <v>319</v>
      </c>
      <c r="C170" s="2" t="s">
        <v>376</v>
      </c>
    </row>
    <row r="171" spans="1:4" x14ac:dyDescent="0.4">
      <c r="A171" s="2" t="s">
        <v>158</v>
      </c>
      <c r="B171" s="2" t="s">
        <v>319</v>
      </c>
      <c r="C171" s="2" t="s">
        <v>376</v>
      </c>
    </row>
    <row r="172" spans="1:4" x14ac:dyDescent="0.4">
      <c r="A172" s="2" t="s">
        <v>159</v>
      </c>
      <c r="B172" s="2" t="s">
        <v>319</v>
      </c>
      <c r="C172" s="2" t="s">
        <v>376</v>
      </c>
    </row>
    <row r="173" spans="1:4" x14ac:dyDescent="0.4">
      <c r="A173" s="2" t="s">
        <v>160</v>
      </c>
      <c r="B173" s="2" t="s">
        <v>319</v>
      </c>
      <c r="C173" s="2" t="s">
        <v>376</v>
      </c>
    </row>
    <row r="174" spans="1:4" x14ac:dyDescent="0.4">
      <c r="A174" s="2" t="s">
        <v>161</v>
      </c>
      <c r="B174" s="2" t="s">
        <v>319</v>
      </c>
      <c r="C174" s="2" t="s">
        <v>376</v>
      </c>
    </row>
    <row r="175" spans="1:4" x14ac:dyDescent="0.4">
      <c r="A175" s="2" t="s">
        <v>162</v>
      </c>
      <c r="B175" s="2" t="s">
        <v>319</v>
      </c>
      <c r="C175" s="2" t="s">
        <v>376</v>
      </c>
    </row>
    <row r="176" spans="1:4" x14ac:dyDescent="0.4">
      <c r="A176" s="2" t="s">
        <v>163</v>
      </c>
      <c r="B176" s="2" t="s">
        <v>319</v>
      </c>
      <c r="C176" s="2" t="s">
        <v>376</v>
      </c>
    </row>
    <row r="177" spans="1:3" x14ac:dyDescent="0.4">
      <c r="A177" s="2" t="s">
        <v>164</v>
      </c>
      <c r="B177" s="2" t="s">
        <v>319</v>
      </c>
      <c r="C177" s="2" t="s">
        <v>376</v>
      </c>
    </row>
    <row r="178" spans="1:3" x14ac:dyDescent="0.4">
      <c r="A178" s="2" t="s">
        <v>165</v>
      </c>
      <c r="B178" s="2" t="s">
        <v>319</v>
      </c>
      <c r="C178" s="2" t="s">
        <v>376</v>
      </c>
    </row>
    <row r="179" spans="1:3" x14ac:dyDescent="0.4">
      <c r="A179" s="2" t="s">
        <v>166</v>
      </c>
      <c r="B179" s="2" t="s">
        <v>319</v>
      </c>
      <c r="C179" s="2" t="s">
        <v>376</v>
      </c>
    </row>
    <row r="180" spans="1:3" x14ac:dyDescent="0.4">
      <c r="A180" s="2" t="s">
        <v>167</v>
      </c>
      <c r="B180" s="2" t="s">
        <v>319</v>
      </c>
      <c r="C180" s="2" t="s">
        <v>376</v>
      </c>
    </row>
    <row r="181" spans="1:3" x14ac:dyDescent="0.4">
      <c r="A181" s="2" t="s">
        <v>168</v>
      </c>
      <c r="B181" s="2" t="s">
        <v>319</v>
      </c>
      <c r="C181" s="2" t="s">
        <v>376</v>
      </c>
    </row>
    <row r="182" spans="1:3" x14ac:dyDescent="0.4">
      <c r="A182" s="2" t="s">
        <v>169</v>
      </c>
      <c r="B182" s="2" t="s">
        <v>319</v>
      </c>
      <c r="C182" s="2" t="s">
        <v>376</v>
      </c>
    </row>
    <row r="183" spans="1:3" x14ac:dyDescent="0.4">
      <c r="A183" s="2" t="s">
        <v>170</v>
      </c>
      <c r="B183" s="2" t="s">
        <v>319</v>
      </c>
      <c r="C183" s="2" t="s">
        <v>376</v>
      </c>
    </row>
    <row r="184" spans="1:3" x14ac:dyDescent="0.4">
      <c r="A184" s="2" t="s">
        <v>171</v>
      </c>
      <c r="B184" s="2" t="s">
        <v>319</v>
      </c>
      <c r="C184" s="2" t="s">
        <v>376</v>
      </c>
    </row>
    <row r="185" spans="1:3" x14ac:dyDescent="0.4">
      <c r="A185" s="2" t="s">
        <v>172</v>
      </c>
      <c r="B185" s="2" t="s">
        <v>319</v>
      </c>
      <c r="C185" s="2" t="s">
        <v>376</v>
      </c>
    </row>
    <row r="186" spans="1:3" x14ac:dyDescent="0.4">
      <c r="A186" s="2" t="s">
        <v>173</v>
      </c>
      <c r="B186" s="2" t="s">
        <v>319</v>
      </c>
      <c r="C186" s="2" t="s">
        <v>376</v>
      </c>
    </row>
    <row r="187" spans="1:3" x14ac:dyDescent="0.4">
      <c r="A187" s="2" t="s">
        <v>174</v>
      </c>
      <c r="B187" s="2" t="s">
        <v>319</v>
      </c>
      <c r="C187" s="2" t="s">
        <v>376</v>
      </c>
    </row>
    <row r="188" spans="1:3" x14ac:dyDescent="0.4">
      <c r="A188" s="2" t="s">
        <v>175</v>
      </c>
      <c r="B188" s="2" t="s">
        <v>319</v>
      </c>
      <c r="C188" s="2" t="s">
        <v>376</v>
      </c>
    </row>
    <row r="189" spans="1:3" x14ac:dyDescent="0.4">
      <c r="A189" s="2" t="s">
        <v>176</v>
      </c>
      <c r="B189" s="2" t="s">
        <v>319</v>
      </c>
      <c r="C189" s="2" t="s">
        <v>376</v>
      </c>
    </row>
    <row r="190" spans="1:3" x14ac:dyDescent="0.4">
      <c r="A190" s="2" t="s">
        <v>177</v>
      </c>
      <c r="B190" s="2" t="s">
        <v>319</v>
      </c>
      <c r="C190" s="2" t="s">
        <v>376</v>
      </c>
    </row>
    <row r="191" spans="1:3" x14ac:dyDescent="0.4">
      <c r="A191" s="2" t="s">
        <v>178</v>
      </c>
      <c r="B191" s="2" t="s">
        <v>319</v>
      </c>
      <c r="C191" s="2" t="s">
        <v>376</v>
      </c>
    </row>
    <row r="192" spans="1:3" x14ac:dyDescent="0.4">
      <c r="A192" s="2" t="s">
        <v>179</v>
      </c>
      <c r="B192" s="2" t="s">
        <v>319</v>
      </c>
      <c r="C192" s="2" t="s">
        <v>376</v>
      </c>
    </row>
    <row r="193" spans="1:3" x14ac:dyDescent="0.4">
      <c r="A193" s="2" t="s">
        <v>180</v>
      </c>
      <c r="B193" s="2" t="s">
        <v>319</v>
      </c>
      <c r="C193" s="2" t="s">
        <v>376</v>
      </c>
    </row>
    <row r="194" spans="1:3" x14ac:dyDescent="0.4">
      <c r="A194" s="2" t="s">
        <v>181</v>
      </c>
      <c r="B194" s="2" t="s">
        <v>319</v>
      </c>
      <c r="C194" s="2" t="s">
        <v>376</v>
      </c>
    </row>
    <row r="195" spans="1:3" x14ac:dyDescent="0.4">
      <c r="A195" s="2" t="s">
        <v>182</v>
      </c>
      <c r="B195" s="2" t="s">
        <v>319</v>
      </c>
      <c r="C195" s="2" t="s">
        <v>376</v>
      </c>
    </row>
    <row r="196" spans="1:3" x14ac:dyDescent="0.4">
      <c r="A196" s="2" t="s">
        <v>183</v>
      </c>
      <c r="B196" s="2" t="s">
        <v>319</v>
      </c>
      <c r="C196" s="2" t="s">
        <v>376</v>
      </c>
    </row>
    <row r="197" spans="1:3" x14ac:dyDescent="0.4">
      <c r="A197" s="2" t="s">
        <v>184</v>
      </c>
      <c r="B197" s="2" t="s">
        <v>319</v>
      </c>
      <c r="C197" s="2" t="s">
        <v>376</v>
      </c>
    </row>
    <row r="198" spans="1:3" x14ac:dyDescent="0.4">
      <c r="A198" s="2" t="s">
        <v>185</v>
      </c>
      <c r="B198" s="2" t="s">
        <v>319</v>
      </c>
      <c r="C198" s="2" t="s">
        <v>376</v>
      </c>
    </row>
    <row r="199" spans="1:3" x14ac:dyDescent="0.4">
      <c r="A199" s="2" t="s">
        <v>215</v>
      </c>
      <c r="B199" s="2" t="s">
        <v>319</v>
      </c>
      <c r="C199" s="2" t="s">
        <v>376</v>
      </c>
    </row>
    <row r="200" spans="1:3" x14ac:dyDescent="0.4">
      <c r="A200" s="2" t="s">
        <v>216</v>
      </c>
      <c r="B200" s="2" t="s">
        <v>319</v>
      </c>
      <c r="C200" s="2" t="s">
        <v>376</v>
      </c>
    </row>
    <row r="201" spans="1:3" x14ac:dyDescent="0.4">
      <c r="A201" s="2" t="s">
        <v>186</v>
      </c>
      <c r="B201" s="2" t="s">
        <v>319</v>
      </c>
      <c r="C201" s="2" t="s">
        <v>376</v>
      </c>
    </row>
    <row r="202" spans="1:3" x14ac:dyDescent="0.4">
      <c r="A202" s="2" t="s">
        <v>187</v>
      </c>
      <c r="B202" s="2" t="s">
        <v>319</v>
      </c>
      <c r="C202" s="2" t="s">
        <v>376</v>
      </c>
    </row>
    <row r="203" spans="1:3" x14ac:dyDescent="0.4">
      <c r="A203" s="2" t="s">
        <v>188</v>
      </c>
      <c r="B203" s="2" t="s">
        <v>319</v>
      </c>
      <c r="C203" s="2" t="s">
        <v>376</v>
      </c>
    </row>
    <row r="204" spans="1:3" x14ac:dyDescent="0.4">
      <c r="A204" s="2" t="s">
        <v>189</v>
      </c>
      <c r="B204" s="2" t="s">
        <v>319</v>
      </c>
      <c r="C204" s="2" t="s">
        <v>376</v>
      </c>
    </row>
    <row r="205" spans="1:3" x14ac:dyDescent="0.4">
      <c r="A205" s="2" t="s">
        <v>190</v>
      </c>
      <c r="B205" s="2" t="s">
        <v>319</v>
      </c>
      <c r="C205" s="2" t="s">
        <v>376</v>
      </c>
    </row>
    <row r="206" spans="1:3" x14ac:dyDescent="0.4">
      <c r="A206" s="2" t="s">
        <v>191</v>
      </c>
      <c r="B206" s="2" t="s">
        <v>319</v>
      </c>
      <c r="C206" s="2" t="s">
        <v>376</v>
      </c>
    </row>
    <row r="207" spans="1:3" x14ac:dyDescent="0.4">
      <c r="A207" s="2" t="s">
        <v>192</v>
      </c>
      <c r="B207" s="2" t="s">
        <v>319</v>
      </c>
      <c r="C207" s="2" t="s">
        <v>376</v>
      </c>
    </row>
    <row r="208" spans="1:3" x14ac:dyDescent="0.4">
      <c r="A208" s="2" t="s">
        <v>193</v>
      </c>
      <c r="B208" s="2" t="s">
        <v>319</v>
      </c>
      <c r="C208" s="2" t="s">
        <v>376</v>
      </c>
    </row>
    <row r="209" spans="1:3" x14ac:dyDescent="0.4">
      <c r="A209" s="2" t="s">
        <v>194</v>
      </c>
      <c r="B209" s="2" t="s">
        <v>319</v>
      </c>
      <c r="C209" s="2" t="s">
        <v>376</v>
      </c>
    </row>
    <row r="210" spans="1:3" x14ac:dyDescent="0.4">
      <c r="A210" s="2" t="s">
        <v>195</v>
      </c>
      <c r="B210" s="2" t="s">
        <v>319</v>
      </c>
      <c r="C210" s="2" t="s">
        <v>376</v>
      </c>
    </row>
    <row r="211" spans="1:3" x14ac:dyDescent="0.4">
      <c r="A211" s="2" t="s">
        <v>196</v>
      </c>
      <c r="B211" s="2" t="s">
        <v>319</v>
      </c>
      <c r="C211" s="2" t="s">
        <v>376</v>
      </c>
    </row>
    <row r="212" spans="1:3" x14ac:dyDescent="0.4">
      <c r="A212" s="2" t="s">
        <v>197</v>
      </c>
      <c r="B212" s="2" t="s">
        <v>319</v>
      </c>
      <c r="C212" s="2" t="s">
        <v>376</v>
      </c>
    </row>
    <row r="213" spans="1:3" x14ac:dyDescent="0.4">
      <c r="A213" s="2" t="s">
        <v>198</v>
      </c>
      <c r="B213" s="2" t="s">
        <v>319</v>
      </c>
      <c r="C213" s="2" t="s">
        <v>376</v>
      </c>
    </row>
    <row r="214" spans="1:3" x14ac:dyDescent="0.4">
      <c r="A214" s="2" t="s">
        <v>199</v>
      </c>
      <c r="B214" s="2" t="s">
        <v>319</v>
      </c>
      <c r="C214" s="2" t="s">
        <v>376</v>
      </c>
    </row>
    <row r="215" spans="1:3" x14ac:dyDescent="0.4">
      <c r="A215" s="2" t="s">
        <v>200</v>
      </c>
      <c r="B215" s="2" t="s">
        <v>319</v>
      </c>
      <c r="C215" s="2" t="s">
        <v>376</v>
      </c>
    </row>
    <row r="216" spans="1:3" x14ac:dyDescent="0.4">
      <c r="A216" s="2" t="s">
        <v>201</v>
      </c>
      <c r="B216" s="2" t="s">
        <v>319</v>
      </c>
      <c r="C216" s="2" t="s">
        <v>376</v>
      </c>
    </row>
    <row r="217" spans="1:3" x14ac:dyDescent="0.4">
      <c r="A217" s="2" t="s">
        <v>202</v>
      </c>
      <c r="B217" s="2" t="s">
        <v>319</v>
      </c>
      <c r="C217" s="2" t="s">
        <v>376</v>
      </c>
    </row>
    <row r="218" spans="1:3" x14ac:dyDescent="0.4">
      <c r="A218" s="2" t="s">
        <v>203</v>
      </c>
      <c r="B218" s="2" t="s">
        <v>319</v>
      </c>
      <c r="C218" s="2" t="s">
        <v>376</v>
      </c>
    </row>
    <row r="219" spans="1:3" x14ac:dyDescent="0.4">
      <c r="A219" s="2" t="s">
        <v>204</v>
      </c>
      <c r="B219" s="2" t="s">
        <v>319</v>
      </c>
      <c r="C219" s="2" t="s">
        <v>376</v>
      </c>
    </row>
    <row r="220" spans="1:3" x14ac:dyDescent="0.4">
      <c r="A220" s="2" t="s">
        <v>205</v>
      </c>
      <c r="B220" s="2" t="s">
        <v>319</v>
      </c>
      <c r="C220" s="2" t="s">
        <v>376</v>
      </c>
    </row>
    <row r="221" spans="1:3" x14ac:dyDescent="0.4">
      <c r="A221" s="2" t="s">
        <v>306</v>
      </c>
      <c r="B221" s="2" t="s">
        <v>319</v>
      </c>
      <c r="C221" s="2" t="s">
        <v>376</v>
      </c>
    </row>
    <row r="222" spans="1:3" x14ac:dyDescent="0.4">
      <c r="A222" s="2" t="s">
        <v>218</v>
      </c>
      <c r="B222" s="2" t="s">
        <v>319</v>
      </c>
      <c r="C222" s="2" t="s">
        <v>382</v>
      </c>
    </row>
    <row r="223" spans="1:3" x14ac:dyDescent="0.4">
      <c r="A223" s="2" t="s">
        <v>219</v>
      </c>
      <c r="B223" s="2" t="s">
        <v>319</v>
      </c>
      <c r="C223" s="2" t="s">
        <v>383</v>
      </c>
    </row>
    <row r="224" spans="1:3" x14ac:dyDescent="0.4">
      <c r="A224" s="2" t="s">
        <v>220</v>
      </c>
      <c r="B224" s="2" t="s">
        <v>319</v>
      </c>
      <c r="C224" s="2" t="s">
        <v>384</v>
      </c>
    </row>
    <row r="225" spans="1:3" x14ac:dyDescent="0.4">
      <c r="A225" s="2" t="s">
        <v>221</v>
      </c>
      <c r="B225" s="2" t="s">
        <v>319</v>
      </c>
      <c r="C225" s="2" t="s">
        <v>381</v>
      </c>
    </row>
    <row r="226" spans="1:3" x14ac:dyDescent="0.4">
      <c r="A226" s="2" t="s">
        <v>222</v>
      </c>
      <c r="B226" s="2" t="s">
        <v>319</v>
      </c>
      <c r="C226" s="2" t="s">
        <v>385</v>
      </c>
    </row>
    <row r="227" spans="1:3" x14ac:dyDescent="0.4">
      <c r="A227" s="2" t="s">
        <v>223</v>
      </c>
      <c r="B227" s="2" t="s">
        <v>319</v>
      </c>
      <c r="C227" s="2" t="s">
        <v>386</v>
      </c>
    </row>
    <row r="228" spans="1:3" x14ac:dyDescent="0.4">
      <c r="A228" s="2" t="s">
        <v>224</v>
      </c>
      <c r="B228" s="2" t="s">
        <v>319</v>
      </c>
      <c r="C228" s="2" t="s">
        <v>387</v>
      </c>
    </row>
    <row r="229" spans="1:3" x14ac:dyDescent="0.4">
      <c r="A229" s="2" t="s">
        <v>225</v>
      </c>
      <c r="B229" s="2" t="s">
        <v>319</v>
      </c>
      <c r="C229" s="2" t="s">
        <v>388</v>
      </c>
    </row>
    <row r="230" spans="1:3" x14ac:dyDescent="0.4">
      <c r="A230" s="2" t="s">
        <v>303</v>
      </c>
      <c r="B230" s="2" t="s">
        <v>325</v>
      </c>
      <c r="C230" s="2" t="s">
        <v>498</v>
      </c>
    </row>
    <row r="231" spans="1:3" x14ac:dyDescent="0.4">
      <c r="A231" s="2" t="s">
        <v>302</v>
      </c>
      <c r="B231" s="2" t="s">
        <v>325</v>
      </c>
      <c r="C231" s="2" t="s">
        <v>499</v>
      </c>
    </row>
    <row r="232" spans="1:3" x14ac:dyDescent="0.4">
      <c r="A232" s="2" t="s">
        <v>312</v>
      </c>
      <c r="B232" s="2" t="s">
        <v>325</v>
      </c>
      <c r="C232" s="2" t="s">
        <v>492</v>
      </c>
    </row>
    <row r="233" spans="1:3" x14ac:dyDescent="0.4">
      <c r="A233" s="2" t="s">
        <v>328</v>
      </c>
      <c r="B233" s="2" t="s">
        <v>319</v>
      </c>
      <c r="C233" s="2" t="s">
        <v>493</v>
      </c>
    </row>
    <row r="234" spans="1:3" x14ac:dyDescent="0.4">
      <c r="A234" s="2" t="s">
        <v>307</v>
      </c>
      <c r="B234" s="2" t="s">
        <v>325</v>
      </c>
      <c r="C234" s="2" t="s">
        <v>500</v>
      </c>
    </row>
    <row r="235" spans="1:3" x14ac:dyDescent="0.4">
      <c r="A235" s="2" t="s">
        <v>308</v>
      </c>
      <c r="B235" s="2" t="s">
        <v>322</v>
      </c>
      <c r="C235" s="2" t="s">
        <v>494</v>
      </c>
    </row>
    <row r="236" spans="1:3" x14ac:dyDescent="0.4">
      <c r="A236" s="2" t="s">
        <v>313</v>
      </c>
      <c r="B236" s="2" t="s">
        <v>322</v>
      </c>
      <c r="C236" s="2" t="s">
        <v>495</v>
      </c>
    </row>
    <row r="237" spans="1:3" s="4" customFormat="1" x14ac:dyDescent="0.4">
      <c r="A237" s="4" t="s">
        <v>314</v>
      </c>
      <c r="B237" s="4" t="s">
        <v>322</v>
      </c>
      <c r="C237" s="4" t="s">
        <v>496</v>
      </c>
    </row>
    <row r="238" spans="1:3" s="4" customFormat="1" x14ac:dyDescent="0.4">
      <c r="A238" s="4" t="s">
        <v>309</v>
      </c>
      <c r="B238" s="4" t="s">
        <v>322</v>
      </c>
      <c r="C238" s="4" t="s">
        <v>497</v>
      </c>
    </row>
    <row r="239" spans="1:3" s="10" customFormat="1" x14ac:dyDescent="0.4">
      <c r="A239" s="10" t="s">
        <v>226</v>
      </c>
      <c r="B239" s="10" t="s">
        <v>325</v>
      </c>
      <c r="C239" s="10" t="s">
        <v>389</v>
      </c>
    </row>
    <row r="240" spans="1:3" s="9" customFormat="1" x14ac:dyDescent="0.4"/>
    <row r="241" spans="1:3" s="9" customFormat="1" x14ac:dyDescent="0.4"/>
    <row r="242" spans="1:3" s="6" customFormat="1" ht="17.399999999999999" x14ac:dyDescent="0.55000000000000004">
      <c r="A242" s="5" t="s">
        <v>489</v>
      </c>
    </row>
    <row r="243" spans="1:3" s="6" customFormat="1" x14ac:dyDescent="0.4"/>
    <row r="244" spans="1:3" s="8" customFormat="1" ht="13.8" customHeight="1" x14ac:dyDescent="0.55000000000000004">
      <c r="A244" s="7" t="s">
        <v>315</v>
      </c>
      <c r="B244" s="7" t="s">
        <v>226</v>
      </c>
      <c r="C244" s="7" t="s">
        <v>316</v>
      </c>
    </row>
    <row r="245" spans="1:3" ht="12.6" x14ac:dyDescent="0.45">
      <c r="A245" s="3" t="s">
        <v>392</v>
      </c>
    </row>
    <row r="246" spans="1:3" x14ac:dyDescent="0.4">
      <c r="A246" s="2" t="s">
        <v>0</v>
      </c>
      <c r="B246" s="2" t="s">
        <v>319</v>
      </c>
      <c r="C246" s="2" t="s">
        <v>318</v>
      </c>
    </row>
    <row r="247" spans="1:3" x14ac:dyDescent="0.4">
      <c r="A247" s="2" t="s">
        <v>228</v>
      </c>
      <c r="B247" s="2" t="s">
        <v>325</v>
      </c>
      <c r="C247" s="2" t="s">
        <v>405</v>
      </c>
    </row>
    <row r="248" spans="1:3" x14ac:dyDescent="0.4">
      <c r="A248" s="2" t="s">
        <v>230</v>
      </c>
      <c r="B248" s="2" t="s">
        <v>325</v>
      </c>
      <c r="C248" s="2" t="s">
        <v>396</v>
      </c>
    </row>
    <row r="249" spans="1:3" x14ac:dyDescent="0.4">
      <c r="A249" s="2" t="s">
        <v>231</v>
      </c>
      <c r="B249" s="2" t="s">
        <v>325</v>
      </c>
      <c r="C249" s="2" t="s">
        <v>397</v>
      </c>
    </row>
    <row r="250" spans="1:3" x14ac:dyDescent="0.4">
      <c r="A250" s="2" t="s">
        <v>232</v>
      </c>
      <c r="B250" s="2" t="s">
        <v>325</v>
      </c>
      <c r="C250" s="2" t="s">
        <v>398</v>
      </c>
    </row>
    <row r="251" spans="1:3" x14ac:dyDescent="0.4">
      <c r="A251" s="2" t="s">
        <v>233</v>
      </c>
      <c r="B251" s="2" t="s">
        <v>317</v>
      </c>
      <c r="C251" s="2" t="s">
        <v>399</v>
      </c>
    </row>
    <row r="252" spans="1:3" x14ac:dyDescent="0.4">
      <c r="A252" s="2" t="s">
        <v>234</v>
      </c>
      <c r="B252" s="2" t="s">
        <v>325</v>
      </c>
      <c r="C252" s="2" t="s">
        <v>400</v>
      </c>
    </row>
    <row r="253" spans="1:3" x14ac:dyDescent="0.4">
      <c r="A253" s="2" t="s">
        <v>235</v>
      </c>
      <c r="B253" s="2" t="s">
        <v>325</v>
      </c>
      <c r="C253" s="2" t="s">
        <v>401</v>
      </c>
    </row>
    <row r="254" spans="1:3" x14ac:dyDescent="0.4">
      <c r="A254" s="2" t="s">
        <v>236</v>
      </c>
      <c r="B254" s="2" t="s">
        <v>325</v>
      </c>
      <c r="C254" s="2" t="s">
        <v>402</v>
      </c>
    </row>
    <row r="255" spans="1:3" x14ac:dyDescent="0.4">
      <c r="A255" s="2" t="s">
        <v>237</v>
      </c>
      <c r="B255" s="2" t="s">
        <v>325</v>
      </c>
      <c r="C255" s="2" t="s">
        <v>403</v>
      </c>
    </row>
    <row r="256" spans="1:3" x14ac:dyDescent="0.4">
      <c r="A256" s="2" t="s">
        <v>239</v>
      </c>
      <c r="B256" s="2" t="s">
        <v>325</v>
      </c>
      <c r="C256" s="2" t="s">
        <v>404</v>
      </c>
    </row>
    <row r="257" spans="1:3" x14ac:dyDescent="0.4">
      <c r="A257" s="2" t="s">
        <v>240</v>
      </c>
      <c r="B257" s="2" t="s">
        <v>325</v>
      </c>
      <c r="C257" s="2" t="s">
        <v>405</v>
      </c>
    </row>
    <row r="258" spans="1:3" x14ac:dyDescent="0.4">
      <c r="A258" s="2" t="s">
        <v>241</v>
      </c>
      <c r="B258" s="2" t="s">
        <v>325</v>
      </c>
      <c r="C258" s="2" t="s">
        <v>404</v>
      </c>
    </row>
    <row r="259" spans="1:3" x14ac:dyDescent="0.4">
      <c r="A259" s="2" t="s">
        <v>242</v>
      </c>
      <c r="B259" s="2" t="s">
        <v>325</v>
      </c>
      <c r="C259" s="2" t="s">
        <v>406</v>
      </c>
    </row>
    <row r="260" spans="1:3" x14ac:dyDescent="0.4">
      <c r="A260" s="2" t="s">
        <v>243</v>
      </c>
      <c r="B260" s="2" t="s">
        <v>325</v>
      </c>
      <c r="C260" s="2" t="s">
        <v>407</v>
      </c>
    </row>
    <row r="261" spans="1:3" x14ac:dyDescent="0.4">
      <c r="A261" s="2" t="s">
        <v>244</v>
      </c>
      <c r="B261" s="2" t="s">
        <v>325</v>
      </c>
      <c r="C261" s="2" t="s">
        <v>408</v>
      </c>
    </row>
    <row r="262" spans="1:3" x14ac:dyDescent="0.4">
      <c r="A262" s="2" t="s">
        <v>245</v>
      </c>
      <c r="B262" s="2" t="s">
        <v>325</v>
      </c>
      <c r="C262" s="2" t="s">
        <v>409</v>
      </c>
    </row>
    <row r="263" spans="1:3" x14ac:dyDescent="0.4">
      <c r="A263" s="2" t="s">
        <v>246</v>
      </c>
      <c r="B263" s="2" t="s">
        <v>317</v>
      </c>
      <c r="C263" s="2" t="s">
        <v>410</v>
      </c>
    </row>
    <row r="264" spans="1:3" x14ac:dyDescent="0.4">
      <c r="A264" s="2" t="s">
        <v>248</v>
      </c>
      <c r="B264" s="2" t="s">
        <v>325</v>
      </c>
      <c r="C264" s="2" t="s">
        <v>411</v>
      </c>
    </row>
    <row r="265" spans="1:3" x14ac:dyDescent="0.4">
      <c r="A265" s="2" t="s">
        <v>310</v>
      </c>
      <c r="B265" s="2" t="s">
        <v>325</v>
      </c>
      <c r="C265" s="2" t="s">
        <v>488</v>
      </c>
    </row>
    <row r="266" spans="1:3" x14ac:dyDescent="0.4">
      <c r="A266" s="2" t="s">
        <v>247</v>
      </c>
      <c r="B266" s="2" t="s">
        <v>317</v>
      </c>
      <c r="C266" s="2" t="s">
        <v>501</v>
      </c>
    </row>
    <row r="267" spans="1:3" x14ac:dyDescent="0.4">
      <c r="A267" s="2" t="s">
        <v>414</v>
      </c>
      <c r="B267" s="2" t="s">
        <v>319</v>
      </c>
      <c r="C267" s="2" t="s">
        <v>430</v>
      </c>
    </row>
    <row r="268" spans="1:3" x14ac:dyDescent="0.4">
      <c r="A268" s="2" t="s">
        <v>415</v>
      </c>
      <c r="B268" s="2" t="s">
        <v>319</v>
      </c>
      <c r="C268" s="2" t="s">
        <v>431</v>
      </c>
    </row>
    <row r="269" spans="1:3" x14ac:dyDescent="0.4">
      <c r="A269" s="2" t="s">
        <v>416</v>
      </c>
      <c r="B269" s="2" t="s">
        <v>319</v>
      </c>
      <c r="C269" s="2" t="s">
        <v>432</v>
      </c>
    </row>
    <row r="270" spans="1:3" x14ac:dyDescent="0.4">
      <c r="A270" s="2" t="s">
        <v>417</v>
      </c>
      <c r="B270" s="2" t="s">
        <v>319</v>
      </c>
      <c r="C270" s="2" t="s">
        <v>433</v>
      </c>
    </row>
    <row r="271" spans="1:3" x14ac:dyDescent="0.4">
      <c r="A271" s="2" t="s">
        <v>418</v>
      </c>
      <c r="B271" s="2" t="s">
        <v>319</v>
      </c>
      <c r="C271" s="2" t="s">
        <v>434</v>
      </c>
    </row>
    <row r="272" spans="1:3" x14ac:dyDescent="0.4">
      <c r="A272" s="2" t="s">
        <v>419</v>
      </c>
      <c r="B272" s="2" t="s">
        <v>319</v>
      </c>
      <c r="C272" s="2" t="s">
        <v>435</v>
      </c>
    </row>
    <row r="273" spans="1:3" x14ac:dyDescent="0.4">
      <c r="A273" s="2" t="s">
        <v>420</v>
      </c>
      <c r="B273" s="2" t="s">
        <v>319</v>
      </c>
      <c r="C273" s="2" t="s">
        <v>436</v>
      </c>
    </row>
    <row r="274" spans="1:3" x14ac:dyDescent="0.4">
      <c r="A274" s="2" t="s">
        <v>421</v>
      </c>
      <c r="B274" s="2" t="s">
        <v>319</v>
      </c>
      <c r="C274" s="2" t="s">
        <v>437</v>
      </c>
    </row>
    <row r="275" spans="1:3" x14ac:dyDescent="0.4">
      <c r="A275" s="2" t="s">
        <v>422</v>
      </c>
      <c r="B275" s="2" t="s">
        <v>319</v>
      </c>
      <c r="C275" s="2" t="s">
        <v>438</v>
      </c>
    </row>
    <row r="276" spans="1:3" x14ac:dyDescent="0.4">
      <c r="A276" s="2" t="s">
        <v>423</v>
      </c>
      <c r="B276" s="2" t="s">
        <v>319</v>
      </c>
      <c r="C276" s="2" t="s">
        <v>439</v>
      </c>
    </row>
    <row r="277" spans="1:3" x14ac:dyDescent="0.4">
      <c r="A277" s="2" t="s">
        <v>424</v>
      </c>
      <c r="B277" s="2" t="s">
        <v>319</v>
      </c>
      <c r="C277" s="2" t="s">
        <v>440</v>
      </c>
    </row>
    <row r="278" spans="1:3" x14ac:dyDescent="0.4">
      <c r="A278" s="2" t="s">
        <v>425</v>
      </c>
      <c r="B278" s="2" t="s">
        <v>319</v>
      </c>
      <c r="C278" s="2" t="s">
        <v>441</v>
      </c>
    </row>
    <row r="279" spans="1:3" x14ac:dyDescent="0.4">
      <c r="A279" s="2" t="s">
        <v>426</v>
      </c>
      <c r="B279" s="2" t="s">
        <v>319</v>
      </c>
      <c r="C279" s="2" t="s">
        <v>442</v>
      </c>
    </row>
    <row r="280" spans="1:3" x14ac:dyDescent="0.4">
      <c r="A280" s="2" t="s">
        <v>427</v>
      </c>
      <c r="B280" s="2" t="s">
        <v>319</v>
      </c>
      <c r="C280" s="2" t="s">
        <v>443</v>
      </c>
    </row>
    <row r="281" spans="1:3" x14ac:dyDescent="0.4">
      <c r="A281" s="2" t="s">
        <v>428</v>
      </c>
      <c r="B281" s="2" t="s">
        <v>319</v>
      </c>
      <c r="C281" s="2" t="s">
        <v>444</v>
      </c>
    </row>
    <row r="282" spans="1:3" x14ac:dyDescent="0.4">
      <c r="A282" s="2" t="s">
        <v>429</v>
      </c>
      <c r="B282" s="2" t="s">
        <v>319</v>
      </c>
      <c r="C282" s="2" t="s">
        <v>445</v>
      </c>
    </row>
    <row r="283" spans="1:3" x14ac:dyDescent="0.4">
      <c r="A283" s="2" t="s">
        <v>249</v>
      </c>
      <c r="B283" s="2" t="s">
        <v>325</v>
      </c>
      <c r="C283" s="2" t="s">
        <v>413</v>
      </c>
    </row>
    <row r="284" spans="1:3" x14ac:dyDescent="0.4">
      <c r="A284" s="2" t="s">
        <v>250</v>
      </c>
      <c r="B284" s="2" t="s">
        <v>325</v>
      </c>
      <c r="C284" s="2" t="s">
        <v>412</v>
      </c>
    </row>
    <row r="285" spans="1:3" x14ac:dyDescent="0.4">
      <c r="A285" s="2" t="s">
        <v>251</v>
      </c>
      <c r="B285" s="2" t="s">
        <v>325</v>
      </c>
      <c r="C285" s="2" t="s">
        <v>390</v>
      </c>
    </row>
    <row r="286" spans="1:3" x14ac:dyDescent="0.4">
      <c r="A286" s="2" t="s">
        <v>252</v>
      </c>
      <c r="B286" s="2" t="s">
        <v>325</v>
      </c>
      <c r="C286" s="2" t="s">
        <v>391</v>
      </c>
    </row>
    <row r="287" spans="1:3" x14ac:dyDescent="0.4">
      <c r="A287" s="2" t="s">
        <v>253</v>
      </c>
      <c r="B287" s="2" t="s">
        <v>325</v>
      </c>
      <c r="C287" s="2" t="s">
        <v>448</v>
      </c>
    </row>
    <row r="288" spans="1:3" x14ac:dyDescent="0.4">
      <c r="A288" s="2" t="s">
        <v>254</v>
      </c>
      <c r="B288" s="2" t="s">
        <v>325</v>
      </c>
      <c r="C288" s="2" t="s">
        <v>449</v>
      </c>
    </row>
    <row r="289" spans="1:3" x14ac:dyDescent="0.4">
      <c r="A289" s="2" t="s">
        <v>255</v>
      </c>
      <c r="B289" s="2" t="s">
        <v>325</v>
      </c>
      <c r="C289" s="2" t="s">
        <v>450</v>
      </c>
    </row>
    <row r="290" spans="1:3" x14ac:dyDescent="0.4">
      <c r="A290" s="2" t="s">
        <v>256</v>
      </c>
      <c r="B290" s="2" t="s">
        <v>325</v>
      </c>
      <c r="C290" s="2" t="s">
        <v>451</v>
      </c>
    </row>
    <row r="291" spans="1:3" x14ac:dyDescent="0.4">
      <c r="A291" s="2" t="s">
        <v>257</v>
      </c>
      <c r="B291" s="2" t="s">
        <v>325</v>
      </c>
      <c r="C291" s="2" t="s">
        <v>447</v>
      </c>
    </row>
    <row r="292" spans="1:3" x14ac:dyDescent="0.4">
      <c r="A292" s="2" t="s">
        <v>258</v>
      </c>
      <c r="B292" s="2" t="s">
        <v>325</v>
      </c>
      <c r="C292" s="2" t="s">
        <v>446</v>
      </c>
    </row>
    <row r="293" spans="1:3" x14ac:dyDescent="0.4">
      <c r="A293" s="2" t="s">
        <v>259</v>
      </c>
      <c r="B293" s="2" t="s">
        <v>325</v>
      </c>
      <c r="C293" s="2" t="s">
        <v>452</v>
      </c>
    </row>
    <row r="294" spans="1:3" x14ac:dyDescent="0.4">
      <c r="A294" s="2" t="s">
        <v>260</v>
      </c>
      <c r="B294" s="2" t="s">
        <v>325</v>
      </c>
      <c r="C294" s="2" t="s">
        <v>452</v>
      </c>
    </row>
    <row r="295" spans="1:3" x14ac:dyDescent="0.4">
      <c r="A295" s="2" t="s">
        <v>261</v>
      </c>
      <c r="B295" s="2" t="s">
        <v>325</v>
      </c>
      <c r="C295" s="2" t="s">
        <v>452</v>
      </c>
    </row>
    <row r="296" spans="1:3" x14ac:dyDescent="0.4">
      <c r="A296" s="2" t="s">
        <v>262</v>
      </c>
      <c r="B296" s="2" t="s">
        <v>325</v>
      </c>
      <c r="C296" s="2" t="s">
        <v>452</v>
      </c>
    </row>
    <row r="297" spans="1:3" x14ac:dyDescent="0.4">
      <c r="A297" s="2" t="s">
        <v>263</v>
      </c>
      <c r="B297" s="2" t="s">
        <v>325</v>
      </c>
      <c r="C297" s="2" t="s">
        <v>453</v>
      </c>
    </row>
    <row r="298" spans="1:3" x14ac:dyDescent="0.4">
      <c r="A298" s="2" t="s">
        <v>264</v>
      </c>
      <c r="B298" s="2" t="s">
        <v>317</v>
      </c>
      <c r="C298" s="2" t="s">
        <v>454</v>
      </c>
    </row>
    <row r="299" spans="1:3" x14ac:dyDescent="0.4">
      <c r="A299" s="2" t="s">
        <v>265</v>
      </c>
      <c r="B299" s="2" t="s">
        <v>325</v>
      </c>
      <c r="C299" s="2" t="s">
        <v>455</v>
      </c>
    </row>
    <row r="300" spans="1:3" x14ac:dyDescent="0.4">
      <c r="A300" s="2" t="s">
        <v>266</v>
      </c>
      <c r="B300" s="2" t="s">
        <v>325</v>
      </c>
      <c r="C300" s="2" t="s">
        <v>456</v>
      </c>
    </row>
    <row r="301" spans="1:3" x14ac:dyDescent="0.4">
      <c r="A301" s="2" t="s">
        <v>267</v>
      </c>
      <c r="B301" s="2" t="s">
        <v>317</v>
      </c>
      <c r="C301" s="2" t="s">
        <v>457</v>
      </c>
    </row>
    <row r="302" spans="1:3" s="11" customFormat="1" x14ac:dyDescent="0.4"/>
    <row r="303" spans="1:3" s="9" customFormat="1" x14ac:dyDescent="0.4"/>
    <row r="304" spans="1:3" s="6" customFormat="1" ht="17.399999999999999" x14ac:dyDescent="0.55000000000000004">
      <c r="A304" s="5" t="s">
        <v>491</v>
      </c>
    </row>
    <row r="305" spans="1:3" s="6" customFormat="1" x14ac:dyDescent="0.4"/>
    <row r="306" spans="1:3" s="8" customFormat="1" ht="13.8" customHeight="1" x14ac:dyDescent="0.55000000000000004">
      <c r="A306" s="7" t="s">
        <v>315</v>
      </c>
      <c r="B306" s="7" t="s">
        <v>226</v>
      </c>
      <c r="C306" s="7" t="s">
        <v>316</v>
      </c>
    </row>
    <row r="307" spans="1:3" x14ac:dyDescent="0.4">
      <c r="A307" s="2" t="s">
        <v>0</v>
      </c>
      <c r="B307" s="2" t="s">
        <v>319</v>
      </c>
      <c r="C307" s="2" t="s">
        <v>318</v>
      </c>
    </row>
    <row r="308" spans="1:3" x14ac:dyDescent="0.4">
      <c r="A308" s="2" t="s">
        <v>269</v>
      </c>
      <c r="B308" s="2" t="s">
        <v>325</v>
      </c>
      <c r="C308" s="2" t="str">
        <f>VLOOKUP(A308,[1]key_howDemocratic!$A:$C, 3, FALSE)</f>
        <v>"Democracy may have problems, but it is better than any other form of government."
To what extent do you agree or disagree with this statement?</v>
      </c>
    </row>
    <row r="309" spans="1:3" x14ac:dyDescent="0.4">
      <c r="A309" s="2" t="s">
        <v>270</v>
      </c>
      <c r="B309" s="2" t="s">
        <v>325</v>
      </c>
      <c r="C309" s="2" t="str">
        <f>VLOOKUP(A309,[1]key_howDemocratic!$A:$C, 3, FALSE)</f>
        <v xml:space="preserve">On the whole, are you satisfied with the way democracy works in the United States? </v>
      </c>
    </row>
    <row r="310" spans="1:3" x14ac:dyDescent="0.4">
      <c r="A310" s="2" t="s">
        <v>271</v>
      </c>
      <c r="B310" s="2" t="s">
        <v>325</v>
      </c>
      <c r="C310" s="2" t="str">
        <f>VLOOKUP(A310,[1]key_howDemocratic!$A:$C, 3, FALSE)</f>
        <v>How strongly do you support or oppose gerrymandering?</v>
      </c>
    </row>
    <row r="311" spans="1:3" x14ac:dyDescent="0.4">
      <c r="A311" s="2" t="s">
        <v>272</v>
      </c>
      <c r="B311" s="2" t="s">
        <v>325</v>
      </c>
      <c r="C311" s="2" t="s">
        <v>459</v>
      </c>
    </row>
    <row r="312" spans="1:3" x14ac:dyDescent="0.4">
      <c r="A312" s="2" t="s">
        <v>273</v>
      </c>
      <c r="B312" s="2" t="s">
        <v>325</v>
      </c>
      <c r="C312" s="2" t="s">
        <v>460</v>
      </c>
    </row>
    <row r="313" spans="1:3" x14ac:dyDescent="0.4">
      <c r="A313" s="2" t="s">
        <v>274</v>
      </c>
      <c r="B313" s="2" t="s">
        <v>325</v>
      </c>
      <c r="C313" s="2" t="s">
        <v>461</v>
      </c>
    </row>
    <row r="314" spans="1:3" x14ac:dyDescent="0.4">
      <c r="A314" s="2" t="s">
        <v>275</v>
      </c>
      <c r="B314" s="2" t="s">
        <v>325</v>
      </c>
      <c r="C314" s="2" t="s">
        <v>462</v>
      </c>
    </row>
    <row r="315" spans="1:3" x14ac:dyDescent="0.4">
      <c r="A315" s="2" t="s">
        <v>276</v>
      </c>
      <c r="B315" s="2" t="s">
        <v>325</v>
      </c>
      <c r="C315" s="2" t="s">
        <v>463</v>
      </c>
    </row>
    <row r="316" spans="1:3" x14ac:dyDescent="0.4">
      <c r="A316" s="2" t="s">
        <v>277</v>
      </c>
      <c r="B316" s="2" t="s">
        <v>325</v>
      </c>
      <c r="C316" s="2" t="s">
        <v>464</v>
      </c>
    </row>
    <row r="317" spans="1:3" x14ac:dyDescent="0.4">
      <c r="A317" s="2" t="s">
        <v>278</v>
      </c>
      <c r="B317" s="2" t="s">
        <v>325</v>
      </c>
      <c r="C317" s="2" t="s">
        <v>465</v>
      </c>
    </row>
    <row r="318" spans="1:3" x14ac:dyDescent="0.4">
      <c r="A318" s="2" t="s">
        <v>279</v>
      </c>
      <c r="B318" s="2" t="s">
        <v>325</v>
      </c>
      <c r="C318" s="2" t="s">
        <v>466</v>
      </c>
    </row>
    <row r="319" spans="1:3" x14ac:dyDescent="0.4">
      <c r="A319" s="2" t="s">
        <v>280</v>
      </c>
      <c r="B319" s="2" t="s">
        <v>325</v>
      </c>
      <c r="C319" s="2" t="s">
        <v>467</v>
      </c>
    </row>
    <row r="320" spans="1:3" x14ac:dyDescent="0.4">
      <c r="A320" s="2" t="s">
        <v>281</v>
      </c>
      <c r="B320" s="2" t="s">
        <v>325</v>
      </c>
      <c r="C320" s="2" t="s">
        <v>458</v>
      </c>
    </row>
    <row r="321" spans="1:3" x14ac:dyDescent="0.4">
      <c r="A321" s="2" t="s">
        <v>282</v>
      </c>
      <c r="B321" s="2" t="s">
        <v>325</v>
      </c>
      <c r="C321" s="2" t="s">
        <v>468</v>
      </c>
    </row>
    <row r="322" spans="1:3" x14ac:dyDescent="0.4">
      <c r="A322" s="2" t="s">
        <v>283</v>
      </c>
      <c r="B322" s="2" t="s">
        <v>325</v>
      </c>
      <c r="C322" s="2" t="s">
        <v>469</v>
      </c>
    </row>
    <row r="323" spans="1:3" x14ac:dyDescent="0.4">
      <c r="A323" s="2" t="s">
        <v>284</v>
      </c>
      <c r="B323" s="2" t="s">
        <v>325</v>
      </c>
      <c r="C323" s="2" t="s">
        <v>470</v>
      </c>
    </row>
    <row r="324" spans="1:3" x14ac:dyDescent="0.4">
      <c r="A324" s="2" t="s">
        <v>285</v>
      </c>
      <c r="B324" s="2" t="s">
        <v>325</v>
      </c>
      <c r="C324" s="2" t="s">
        <v>471</v>
      </c>
    </row>
    <row r="325" spans="1:3" x14ac:dyDescent="0.4">
      <c r="A325" s="2" t="s">
        <v>286</v>
      </c>
      <c r="B325" s="2" t="s">
        <v>325</v>
      </c>
      <c r="C325" s="2" t="s">
        <v>472</v>
      </c>
    </row>
    <row r="326" spans="1:3" x14ac:dyDescent="0.4">
      <c r="A326" s="2" t="s">
        <v>287</v>
      </c>
      <c r="B326" s="2" t="s">
        <v>325</v>
      </c>
      <c r="C326" s="2" t="s">
        <v>473</v>
      </c>
    </row>
    <row r="327" spans="1:3" x14ac:dyDescent="0.4">
      <c r="A327" s="2" t="s">
        <v>288</v>
      </c>
      <c r="B327" s="2" t="s">
        <v>325</v>
      </c>
      <c r="C327" s="2" t="s">
        <v>474</v>
      </c>
    </row>
    <row r="328" spans="1:3" x14ac:dyDescent="0.4">
      <c r="A328" s="2" t="s">
        <v>289</v>
      </c>
      <c r="B328" s="2" t="s">
        <v>325</v>
      </c>
      <c r="C328" s="2" t="s">
        <v>475</v>
      </c>
    </row>
    <row r="329" spans="1:3" x14ac:dyDescent="0.4">
      <c r="A329" s="2" t="s">
        <v>290</v>
      </c>
      <c r="B329" s="2" t="s">
        <v>325</v>
      </c>
      <c r="C329" s="2" t="s">
        <v>476</v>
      </c>
    </row>
    <row r="330" spans="1:3" x14ac:dyDescent="0.4">
      <c r="A330" s="2" t="s">
        <v>291</v>
      </c>
      <c r="B330" s="2" t="s">
        <v>325</v>
      </c>
      <c r="C330" s="2" t="s">
        <v>477</v>
      </c>
    </row>
    <row r="331" spans="1:3" x14ac:dyDescent="0.4">
      <c r="A331" s="2" t="s">
        <v>292</v>
      </c>
      <c r="B331" s="2" t="s">
        <v>325</v>
      </c>
      <c r="C331" s="2" t="s">
        <v>478</v>
      </c>
    </row>
    <row r="332" spans="1:3" x14ac:dyDescent="0.4">
      <c r="A332" s="2" t="s">
        <v>293</v>
      </c>
      <c r="B332" s="2" t="s">
        <v>325</v>
      </c>
      <c r="C332" s="2" t="s">
        <v>479</v>
      </c>
    </row>
    <row r="333" spans="1:3" x14ac:dyDescent="0.4">
      <c r="A333" s="2" t="s">
        <v>294</v>
      </c>
      <c r="B333" s="2" t="s">
        <v>325</v>
      </c>
      <c r="C333" s="2" t="s">
        <v>480</v>
      </c>
    </row>
    <row r="334" spans="1:3" x14ac:dyDescent="0.4">
      <c r="A334" s="2" t="s">
        <v>295</v>
      </c>
      <c r="B334" s="2" t="s">
        <v>325</v>
      </c>
      <c r="C334" s="2" t="s">
        <v>487</v>
      </c>
    </row>
    <row r="335" spans="1:3" x14ac:dyDescent="0.4">
      <c r="A335" s="2" t="s">
        <v>296</v>
      </c>
      <c r="B335" s="2" t="s">
        <v>325</v>
      </c>
      <c r="C335" s="2" t="s">
        <v>481</v>
      </c>
    </row>
    <row r="336" spans="1:3" x14ac:dyDescent="0.4">
      <c r="A336" s="2" t="s">
        <v>297</v>
      </c>
      <c r="B336" s="2" t="s">
        <v>325</v>
      </c>
      <c r="C336" s="2" t="s">
        <v>482</v>
      </c>
    </row>
    <row r="337" spans="1:3" x14ac:dyDescent="0.4">
      <c r="A337" s="2" t="s">
        <v>298</v>
      </c>
      <c r="B337" s="2" t="s">
        <v>325</v>
      </c>
      <c r="C337" s="2" t="s">
        <v>483</v>
      </c>
    </row>
    <row r="338" spans="1:3" x14ac:dyDescent="0.4">
      <c r="A338" s="2" t="s">
        <v>299</v>
      </c>
      <c r="B338" s="2" t="s">
        <v>325</v>
      </c>
      <c r="C338" s="2" t="s">
        <v>484</v>
      </c>
    </row>
    <row r="339" spans="1:3" x14ac:dyDescent="0.4">
      <c r="A339" s="2" t="s">
        <v>300</v>
      </c>
      <c r="B339" s="2" t="s">
        <v>325</v>
      </c>
      <c r="C339" s="2" t="s">
        <v>485</v>
      </c>
    </row>
    <row r="340" spans="1:3" x14ac:dyDescent="0.4">
      <c r="A340" s="2" t="s">
        <v>301</v>
      </c>
      <c r="B340" s="2" t="s">
        <v>325</v>
      </c>
      <c r="C340" s="2" t="s">
        <v>486</v>
      </c>
    </row>
    <row r="341" spans="1:3" s="9" customFormat="1" ht="370.2" customHeight="1" x14ac:dyDescent="0.4"/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1BC0-E314-4D3B-A210-ABC6E483097A}">
  <dimension ref="A1:C307"/>
  <sheetViews>
    <sheetView topLeftCell="A12" workbookViewId="0">
      <selection activeCell="C17" sqref="C17"/>
    </sheetView>
  </sheetViews>
  <sheetFormatPr defaultRowHeight="14.4" x14ac:dyDescent="0.55000000000000004"/>
  <cols>
    <col min="1" max="3" width="8.83984375" style="2"/>
  </cols>
  <sheetData>
    <row r="1" spans="1:3" x14ac:dyDescent="0.55000000000000004">
      <c r="A1" s="1" t="s">
        <v>315</v>
      </c>
      <c r="B1" s="1" t="s">
        <v>226</v>
      </c>
      <c r="C1" s="1" t="s">
        <v>316</v>
      </c>
    </row>
    <row r="2" spans="1:3" x14ac:dyDescent="0.55000000000000004">
      <c r="A2" s="2" t="s">
        <v>0</v>
      </c>
      <c r="B2" s="2" t="s">
        <v>317</v>
      </c>
      <c r="C2" s="2" t="s">
        <v>318</v>
      </c>
    </row>
    <row r="3" spans="1:3" x14ac:dyDescent="0.55000000000000004">
      <c r="A3" s="2" t="s">
        <v>1</v>
      </c>
      <c r="B3" s="2" t="s">
        <v>319</v>
      </c>
      <c r="C3" s="2" t="s">
        <v>320</v>
      </c>
    </row>
    <row r="4" spans="1:3" x14ac:dyDescent="0.55000000000000004">
      <c r="A4" s="2" t="s">
        <v>2</v>
      </c>
      <c r="B4" s="2" t="s">
        <v>317</v>
      </c>
      <c r="C4" s="2" t="s">
        <v>330</v>
      </c>
    </row>
    <row r="5" spans="1:3" x14ac:dyDescent="0.55000000000000004">
      <c r="A5" s="2" t="s">
        <v>3</v>
      </c>
      <c r="B5" s="2" t="s">
        <v>317</v>
      </c>
      <c r="C5" s="2" t="s">
        <v>321</v>
      </c>
    </row>
    <row r="6" spans="1:3" x14ac:dyDescent="0.55000000000000004">
      <c r="A6" s="2" t="s">
        <v>4</v>
      </c>
      <c r="B6" s="2" t="s">
        <v>322</v>
      </c>
      <c r="C6" s="2" t="s">
        <v>323</v>
      </c>
    </row>
    <row r="7" spans="1:3" x14ac:dyDescent="0.55000000000000004">
      <c r="A7" s="2" t="s">
        <v>5</v>
      </c>
      <c r="B7" s="2" t="s">
        <v>322</v>
      </c>
      <c r="C7" s="2" t="s">
        <v>324</v>
      </c>
    </row>
    <row r="8" spans="1:3" x14ac:dyDescent="0.55000000000000004">
      <c r="A8" s="2" t="s">
        <v>6</v>
      </c>
      <c r="B8" s="2" t="s">
        <v>325</v>
      </c>
      <c r="C8" s="2" t="s">
        <v>326</v>
      </c>
    </row>
    <row r="9" spans="1:3" x14ac:dyDescent="0.55000000000000004">
      <c r="A9" s="2" t="s">
        <v>7</v>
      </c>
      <c r="B9" s="2" t="s">
        <v>325</v>
      </c>
      <c r="C9" s="2" t="s">
        <v>326</v>
      </c>
    </row>
    <row r="10" spans="1:3" x14ac:dyDescent="0.55000000000000004">
      <c r="A10" s="2" t="s">
        <v>8</v>
      </c>
      <c r="B10" s="2" t="s">
        <v>319</v>
      </c>
      <c r="C10" s="2" t="s">
        <v>329</v>
      </c>
    </row>
    <row r="11" spans="1:3" x14ac:dyDescent="0.55000000000000004">
      <c r="A11" s="2" t="s">
        <v>9</v>
      </c>
      <c r="B11" s="2" t="s">
        <v>319</v>
      </c>
      <c r="C11" s="2" t="s">
        <v>331</v>
      </c>
    </row>
    <row r="12" spans="1:3" x14ac:dyDescent="0.55000000000000004">
      <c r="A12" s="2" t="s">
        <v>10</v>
      </c>
      <c r="B12" s="2" t="s">
        <v>319</v>
      </c>
      <c r="C12" s="2" t="s">
        <v>332</v>
      </c>
    </row>
    <row r="13" spans="1:3" x14ac:dyDescent="0.55000000000000004">
      <c r="A13" s="2" t="s">
        <v>11</v>
      </c>
      <c r="B13" s="2" t="s">
        <v>325</v>
      </c>
      <c r="C13" s="2" t="s">
        <v>333</v>
      </c>
    </row>
    <row r="14" spans="1:3" x14ac:dyDescent="0.55000000000000004">
      <c r="A14" s="2" t="s">
        <v>12</v>
      </c>
      <c r="B14" s="2" t="s">
        <v>319</v>
      </c>
      <c r="C14" s="2" t="s">
        <v>334</v>
      </c>
    </row>
    <row r="15" spans="1:3" x14ac:dyDescent="0.55000000000000004">
      <c r="A15" s="2" t="s">
        <v>15</v>
      </c>
      <c r="B15" s="2" t="s">
        <v>319</v>
      </c>
      <c r="C15" s="2" t="s">
        <v>335</v>
      </c>
    </row>
    <row r="16" spans="1:3" x14ac:dyDescent="0.55000000000000004">
      <c r="A16" s="2" t="s">
        <v>16</v>
      </c>
      <c r="B16" s="2" t="s">
        <v>317</v>
      </c>
      <c r="C16" s="2" t="s">
        <v>336</v>
      </c>
    </row>
    <row r="17" spans="1:3" x14ac:dyDescent="0.55000000000000004">
      <c r="A17" s="2" t="s">
        <v>17</v>
      </c>
      <c r="B17" s="2" t="s">
        <v>319</v>
      </c>
      <c r="C17" s="2" t="s">
        <v>343</v>
      </c>
    </row>
    <row r="18" spans="1:3" x14ac:dyDescent="0.55000000000000004">
      <c r="A18" s="2" t="s">
        <v>18</v>
      </c>
    </row>
    <row r="19" spans="1:3" x14ac:dyDescent="0.55000000000000004">
      <c r="A19" s="2" t="s">
        <v>19</v>
      </c>
    </row>
    <row r="20" spans="1:3" x14ac:dyDescent="0.55000000000000004">
      <c r="A20" s="2" t="s">
        <v>20</v>
      </c>
    </row>
    <row r="21" spans="1:3" x14ac:dyDescent="0.55000000000000004">
      <c r="A21" s="2" t="s">
        <v>23</v>
      </c>
    </row>
    <row r="22" spans="1:3" x14ac:dyDescent="0.55000000000000004">
      <c r="A22" s="2" t="s">
        <v>24</v>
      </c>
    </row>
    <row r="23" spans="1:3" x14ac:dyDescent="0.55000000000000004">
      <c r="A23" s="2" t="s">
        <v>25</v>
      </c>
    </row>
    <row r="24" spans="1:3" x14ac:dyDescent="0.55000000000000004">
      <c r="A24" s="2" t="s">
        <v>26</v>
      </c>
    </row>
    <row r="25" spans="1:3" x14ac:dyDescent="0.55000000000000004">
      <c r="A25" s="2" t="s">
        <v>27</v>
      </c>
    </row>
    <row r="26" spans="1:3" x14ac:dyDescent="0.55000000000000004">
      <c r="A26" s="2" t="s">
        <v>28</v>
      </c>
    </row>
    <row r="27" spans="1:3" x14ac:dyDescent="0.55000000000000004">
      <c r="A27" s="2" t="s">
        <v>29</v>
      </c>
    </row>
    <row r="28" spans="1:3" x14ac:dyDescent="0.55000000000000004">
      <c r="A28" s="2" t="s">
        <v>30</v>
      </c>
    </row>
    <row r="29" spans="1:3" x14ac:dyDescent="0.55000000000000004">
      <c r="A29" s="2" t="s">
        <v>31</v>
      </c>
    </row>
    <row r="30" spans="1:3" x14ac:dyDescent="0.55000000000000004">
      <c r="A30" s="2" t="s">
        <v>337</v>
      </c>
    </row>
    <row r="31" spans="1:3" x14ac:dyDescent="0.55000000000000004">
      <c r="A31" s="2" t="s">
        <v>33</v>
      </c>
    </row>
    <row r="32" spans="1:3" x14ac:dyDescent="0.55000000000000004">
      <c r="A32" s="2" t="s">
        <v>34</v>
      </c>
    </row>
    <row r="33" spans="1:1" x14ac:dyDescent="0.55000000000000004">
      <c r="A33" s="2" t="s">
        <v>35</v>
      </c>
    </row>
    <row r="34" spans="1:1" x14ac:dyDescent="0.55000000000000004">
      <c r="A34" s="2" t="s">
        <v>36</v>
      </c>
    </row>
    <row r="35" spans="1:1" x14ac:dyDescent="0.55000000000000004">
      <c r="A35" s="2" t="s">
        <v>37</v>
      </c>
    </row>
    <row r="36" spans="1:1" x14ac:dyDescent="0.55000000000000004">
      <c r="A36" s="2" t="s">
        <v>38</v>
      </c>
    </row>
    <row r="37" spans="1:1" x14ac:dyDescent="0.55000000000000004">
      <c r="A37" s="2" t="s">
        <v>39</v>
      </c>
    </row>
    <row r="38" spans="1:1" x14ac:dyDescent="0.55000000000000004">
      <c r="A38" s="2" t="s">
        <v>40</v>
      </c>
    </row>
    <row r="39" spans="1:1" x14ac:dyDescent="0.55000000000000004">
      <c r="A39" s="2" t="s">
        <v>41</v>
      </c>
    </row>
    <row r="40" spans="1:1" x14ac:dyDescent="0.55000000000000004">
      <c r="A40" s="2" t="s">
        <v>42</v>
      </c>
    </row>
    <row r="41" spans="1:1" x14ac:dyDescent="0.55000000000000004">
      <c r="A41" s="2" t="s">
        <v>43</v>
      </c>
    </row>
    <row r="42" spans="1:1" x14ac:dyDescent="0.55000000000000004">
      <c r="A42" s="2" t="s">
        <v>44</v>
      </c>
    </row>
    <row r="43" spans="1:1" x14ac:dyDescent="0.55000000000000004">
      <c r="A43" s="2" t="s">
        <v>45</v>
      </c>
    </row>
    <row r="44" spans="1:1" x14ac:dyDescent="0.55000000000000004">
      <c r="A44" s="2" t="s">
        <v>46</v>
      </c>
    </row>
    <row r="45" spans="1:1" x14ac:dyDescent="0.55000000000000004">
      <c r="A45" s="2" t="s">
        <v>338</v>
      </c>
    </row>
    <row r="46" spans="1:1" x14ac:dyDescent="0.55000000000000004">
      <c r="A46" s="2" t="s">
        <v>48</v>
      </c>
    </row>
    <row r="47" spans="1:1" x14ac:dyDescent="0.55000000000000004">
      <c r="A47" s="2" t="s">
        <v>49</v>
      </c>
    </row>
    <row r="48" spans="1:1" x14ac:dyDescent="0.55000000000000004">
      <c r="A48" s="2" t="s">
        <v>50</v>
      </c>
    </row>
    <row r="49" spans="1:1" x14ac:dyDescent="0.55000000000000004">
      <c r="A49" s="2" t="s">
        <v>51</v>
      </c>
    </row>
    <row r="50" spans="1:1" x14ac:dyDescent="0.55000000000000004">
      <c r="A50" s="2" t="s">
        <v>52</v>
      </c>
    </row>
    <row r="51" spans="1:1" x14ac:dyDescent="0.55000000000000004">
      <c r="A51" s="2" t="s">
        <v>53</v>
      </c>
    </row>
    <row r="52" spans="1:1" x14ac:dyDescent="0.55000000000000004">
      <c r="A52" s="2" t="s">
        <v>54</v>
      </c>
    </row>
    <row r="53" spans="1:1" x14ac:dyDescent="0.55000000000000004">
      <c r="A53" s="2" t="s">
        <v>55</v>
      </c>
    </row>
    <row r="54" spans="1:1" x14ac:dyDescent="0.55000000000000004">
      <c r="A54" s="2" t="s">
        <v>56</v>
      </c>
    </row>
    <row r="55" spans="1:1" x14ac:dyDescent="0.55000000000000004">
      <c r="A55" s="2" t="s">
        <v>57</v>
      </c>
    </row>
    <row r="56" spans="1:1" x14ac:dyDescent="0.55000000000000004">
      <c r="A56" s="2" t="s">
        <v>58</v>
      </c>
    </row>
    <row r="57" spans="1:1" x14ac:dyDescent="0.55000000000000004">
      <c r="A57" s="2" t="s">
        <v>59</v>
      </c>
    </row>
    <row r="58" spans="1:1" x14ac:dyDescent="0.55000000000000004">
      <c r="A58" s="2" t="s">
        <v>60</v>
      </c>
    </row>
    <row r="59" spans="1:1" x14ac:dyDescent="0.55000000000000004">
      <c r="A59" s="2" t="s">
        <v>61</v>
      </c>
    </row>
    <row r="60" spans="1:1" x14ac:dyDescent="0.55000000000000004">
      <c r="A60" s="2" t="s">
        <v>62</v>
      </c>
    </row>
    <row r="61" spans="1:1" x14ac:dyDescent="0.55000000000000004">
      <c r="A61" s="2" t="s">
        <v>63</v>
      </c>
    </row>
    <row r="62" spans="1:1" x14ac:dyDescent="0.55000000000000004">
      <c r="A62" s="2" t="s">
        <v>64</v>
      </c>
    </row>
    <row r="63" spans="1:1" x14ac:dyDescent="0.55000000000000004">
      <c r="A63" s="2" t="s">
        <v>65</v>
      </c>
    </row>
    <row r="64" spans="1:1" x14ac:dyDescent="0.55000000000000004">
      <c r="A64" s="2" t="s">
        <v>66</v>
      </c>
    </row>
    <row r="65" spans="1:1" x14ac:dyDescent="0.55000000000000004">
      <c r="A65" s="2" t="s">
        <v>67</v>
      </c>
    </row>
    <row r="66" spans="1:1" x14ac:dyDescent="0.55000000000000004">
      <c r="A66" s="2" t="s">
        <v>68</v>
      </c>
    </row>
    <row r="67" spans="1:1" x14ac:dyDescent="0.55000000000000004">
      <c r="A67" s="2" t="s">
        <v>69</v>
      </c>
    </row>
    <row r="68" spans="1:1" x14ac:dyDescent="0.55000000000000004">
      <c r="A68" s="2" t="s">
        <v>70</v>
      </c>
    </row>
    <row r="69" spans="1:1" x14ac:dyDescent="0.55000000000000004">
      <c r="A69" s="2" t="s">
        <v>71</v>
      </c>
    </row>
    <row r="70" spans="1:1" x14ac:dyDescent="0.55000000000000004">
      <c r="A70" s="2" t="s">
        <v>72</v>
      </c>
    </row>
    <row r="71" spans="1:1" x14ac:dyDescent="0.55000000000000004">
      <c r="A71" s="2" t="s">
        <v>73</v>
      </c>
    </row>
    <row r="72" spans="1:1" x14ac:dyDescent="0.55000000000000004">
      <c r="A72" s="2" t="s">
        <v>74</v>
      </c>
    </row>
    <row r="73" spans="1:1" x14ac:dyDescent="0.55000000000000004">
      <c r="A73" s="2" t="s">
        <v>75</v>
      </c>
    </row>
    <row r="74" spans="1:1" x14ac:dyDescent="0.55000000000000004">
      <c r="A74" s="2" t="s">
        <v>76</v>
      </c>
    </row>
    <row r="75" spans="1:1" x14ac:dyDescent="0.55000000000000004">
      <c r="A75" s="2" t="s">
        <v>77</v>
      </c>
    </row>
    <row r="76" spans="1:1" x14ac:dyDescent="0.55000000000000004">
      <c r="A76" s="2" t="s">
        <v>211</v>
      </c>
    </row>
    <row r="77" spans="1:1" x14ac:dyDescent="0.55000000000000004">
      <c r="A77" s="2" t="s">
        <v>212</v>
      </c>
    </row>
    <row r="78" spans="1:1" x14ac:dyDescent="0.55000000000000004">
      <c r="A78" s="2" t="s">
        <v>304</v>
      </c>
    </row>
    <row r="79" spans="1:1" x14ac:dyDescent="0.55000000000000004">
      <c r="A79" s="2" t="s">
        <v>78</v>
      </c>
    </row>
    <row r="80" spans="1:1" x14ac:dyDescent="0.55000000000000004">
      <c r="A80" s="2" t="s">
        <v>79</v>
      </c>
    </row>
    <row r="81" spans="1:1" x14ac:dyDescent="0.55000000000000004">
      <c r="A81" s="2" t="s">
        <v>80</v>
      </c>
    </row>
    <row r="82" spans="1:1" x14ac:dyDescent="0.55000000000000004">
      <c r="A82" s="2" t="s">
        <v>81</v>
      </c>
    </row>
    <row r="83" spans="1:1" x14ac:dyDescent="0.55000000000000004">
      <c r="A83" s="2" t="s">
        <v>82</v>
      </c>
    </row>
    <row r="84" spans="1:1" x14ac:dyDescent="0.55000000000000004">
      <c r="A84" s="2" t="s">
        <v>83</v>
      </c>
    </row>
    <row r="85" spans="1:1" x14ac:dyDescent="0.55000000000000004">
      <c r="A85" s="2" t="s">
        <v>84</v>
      </c>
    </row>
    <row r="86" spans="1:1" x14ac:dyDescent="0.55000000000000004">
      <c r="A86" s="2" t="s">
        <v>85</v>
      </c>
    </row>
    <row r="87" spans="1:1" x14ac:dyDescent="0.55000000000000004">
      <c r="A87" s="2" t="s">
        <v>86</v>
      </c>
    </row>
    <row r="88" spans="1:1" x14ac:dyDescent="0.55000000000000004">
      <c r="A88" s="2" t="s">
        <v>87</v>
      </c>
    </row>
    <row r="89" spans="1:1" x14ac:dyDescent="0.55000000000000004">
      <c r="A89" s="2" t="s">
        <v>90</v>
      </c>
    </row>
    <row r="90" spans="1:1" x14ac:dyDescent="0.55000000000000004">
      <c r="A90" s="2" t="s">
        <v>91</v>
      </c>
    </row>
    <row r="91" spans="1:1" x14ac:dyDescent="0.55000000000000004">
      <c r="A91" s="2" t="s">
        <v>92</v>
      </c>
    </row>
    <row r="92" spans="1:1" x14ac:dyDescent="0.55000000000000004">
      <c r="A92" s="2" t="s">
        <v>93</v>
      </c>
    </row>
    <row r="93" spans="1:1" x14ac:dyDescent="0.55000000000000004">
      <c r="A93" s="2" t="s">
        <v>94</v>
      </c>
    </row>
    <row r="94" spans="1:1" x14ac:dyDescent="0.55000000000000004">
      <c r="A94" s="2" t="s">
        <v>95</v>
      </c>
    </row>
    <row r="95" spans="1:1" x14ac:dyDescent="0.55000000000000004">
      <c r="A95" s="2" t="s">
        <v>98</v>
      </c>
    </row>
    <row r="96" spans="1:1" x14ac:dyDescent="0.55000000000000004">
      <c r="A96" s="2" t="s">
        <v>99</v>
      </c>
    </row>
    <row r="97" spans="1:1" x14ac:dyDescent="0.55000000000000004">
      <c r="A97" s="2" t="s">
        <v>100</v>
      </c>
    </row>
    <row r="98" spans="1:1" x14ac:dyDescent="0.55000000000000004">
      <c r="A98" s="2" t="s">
        <v>101</v>
      </c>
    </row>
    <row r="99" spans="1:1" x14ac:dyDescent="0.55000000000000004">
      <c r="A99" s="2" t="s">
        <v>102</v>
      </c>
    </row>
    <row r="100" spans="1:1" x14ac:dyDescent="0.55000000000000004">
      <c r="A100" s="2" t="s">
        <v>103</v>
      </c>
    </row>
    <row r="101" spans="1:1" x14ac:dyDescent="0.55000000000000004">
      <c r="A101" s="2" t="s">
        <v>104</v>
      </c>
    </row>
    <row r="102" spans="1:1" x14ac:dyDescent="0.55000000000000004">
      <c r="A102" s="2" t="s">
        <v>105</v>
      </c>
    </row>
    <row r="103" spans="1:1" x14ac:dyDescent="0.55000000000000004">
      <c r="A103" s="2" t="s">
        <v>106</v>
      </c>
    </row>
    <row r="104" spans="1:1" x14ac:dyDescent="0.55000000000000004">
      <c r="A104" s="2" t="s">
        <v>339</v>
      </c>
    </row>
    <row r="105" spans="1:1" x14ac:dyDescent="0.55000000000000004">
      <c r="A105" s="2" t="s">
        <v>108</v>
      </c>
    </row>
    <row r="106" spans="1:1" x14ac:dyDescent="0.55000000000000004">
      <c r="A106" s="2" t="s">
        <v>109</v>
      </c>
    </row>
    <row r="107" spans="1:1" x14ac:dyDescent="0.55000000000000004">
      <c r="A107" s="2" t="s">
        <v>110</v>
      </c>
    </row>
    <row r="108" spans="1:1" x14ac:dyDescent="0.55000000000000004">
      <c r="A108" s="2" t="s">
        <v>111</v>
      </c>
    </row>
    <row r="109" spans="1:1" x14ac:dyDescent="0.55000000000000004">
      <c r="A109" s="2" t="s">
        <v>112</v>
      </c>
    </row>
    <row r="110" spans="1:1" x14ac:dyDescent="0.55000000000000004">
      <c r="A110" s="2" t="s">
        <v>113</v>
      </c>
    </row>
    <row r="111" spans="1:1" x14ac:dyDescent="0.55000000000000004">
      <c r="A111" s="2" t="s">
        <v>114</v>
      </c>
    </row>
    <row r="112" spans="1:1" x14ac:dyDescent="0.55000000000000004">
      <c r="A112" s="2" t="s">
        <v>115</v>
      </c>
    </row>
    <row r="113" spans="1:1" x14ac:dyDescent="0.55000000000000004">
      <c r="A113" s="2" t="s">
        <v>116</v>
      </c>
    </row>
    <row r="114" spans="1:1" x14ac:dyDescent="0.55000000000000004">
      <c r="A114" s="2" t="s">
        <v>117</v>
      </c>
    </row>
    <row r="115" spans="1:1" x14ac:dyDescent="0.55000000000000004">
      <c r="A115" s="2" t="s">
        <v>118</v>
      </c>
    </row>
    <row r="116" spans="1:1" x14ac:dyDescent="0.55000000000000004">
      <c r="A116" s="2" t="s">
        <v>119</v>
      </c>
    </row>
    <row r="117" spans="1:1" x14ac:dyDescent="0.55000000000000004">
      <c r="A117" s="2" t="s">
        <v>120</v>
      </c>
    </row>
    <row r="118" spans="1:1" x14ac:dyDescent="0.55000000000000004">
      <c r="A118" s="2" t="s">
        <v>121</v>
      </c>
    </row>
    <row r="119" spans="1:1" x14ac:dyDescent="0.55000000000000004">
      <c r="A119" s="2" t="s">
        <v>340</v>
      </c>
    </row>
    <row r="120" spans="1:1" x14ac:dyDescent="0.55000000000000004">
      <c r="A120" s="2" t="s">
        <v>123</v>
      </c>
    </row>
    <row r="121" spans="1:1" x14ac:dyDescent="0.55000000000000004">
      <c r="A121" s="2" t="s">
        <v>124</v>
      </c>
    </row>
    <row r="122" spans="1:1" x14ac:dyDescent="0.55000000000000004">
      <c r="A122" s="2" t="s">
        <v>125</v>
      </c>
    </row>
    <row r="123" spans="1:1" x14ac:dyDescent="0.55000000000000004">
      <c r="A123" s="2" t="s">
        <v>126</v>
      </c>
    </row>
    <row r="124" spans="1:1" x14ac:dyDescent="0.55000000000000004">
      <c r="A124" s="2" t="s">
        <v>127</v>
      </c>
    </row>
    <row r="125" spans="1:1" x14ac:dyDescent="0.55000000000000004">
      <c r="A125" s="2" t="s">
        <v>128</v>
      </c>
    </row>
    <row r="126" spans="1:1" x14ac:dyDescent="0.55000000000000004">
      <c r="A126" s="2" t="s">
        <v>129</v>
      </c>
    </row>
    <row r="127" spans="1:1" x14ac:dyDescent="0.55000000000000004">
      <c r="A127" s="2" t="s">
        <v>130</v>
      </c>
    </row>
    <row r="128" spans="1:1" x14ac:dyDescent="0.55000000000000004">
      <c r="A128" s="2" t="s">
        <v>131</v>
      </c>
    </row>
    <row r="129" spans="1:1" x14ac:dyDescent="0.55000000000000004">
      <c r="A129" s="2" t="s">
        <v>132</v>
      </c>
    </row>
    <row r="130" spans="1:1" x14ac:dyDescent="0.55000000000000004">
      <c r="A130" s="2" t="s">
        <v>133</v>
      </c>
    </row>
    <row r="131" spans="1:1" x14ac:dyDescent="0.55000000000000004">
      <c r="A131" s="2" t="s">
        <v>134</v>
      </c>
    </row>
    <row r="132" spans="1:1" x14ac:dyDescent="0.55000000000000004">
      <c r="A132" s="2" t="s">
        <v>135</v>
      </c>
    </row>
    <row r="133" spans="1:1" x14ac:dyDescent="0.55000000000000004">
      <c r="A133" s="2" t="s">
        <v>136</v>
      </c>
    </row>
    <row r="134" spans="1:1" x14ac:dyDescent="0.55000000000000004">
      <c r="A134" s="2" t="s">
        <v>137</v>
      </c>
    </row>
    <row r="135" spans="1:1" x14ac:dyDescent="0.55000000000000004">
      <c r="A135" s="2" t="s">
        <v>138</v>
      </c>
    </row>
    <row r="136" spans="1:1" x14ac:dyDescent="0.55000000000000004">
      <c r="A136" s="2" t="s">
        <v>139</v>
      </c>
    </row>
    <row r="137" spans="1:1" x14ac:dyDescent="0.55000000000000004">
      <c r="A137" s="2" t="s">
        <v>140</v>
      </c>
    </row>
    <row r="138" spans="1:1" x14ac:dyDescent="0.55000000000000004">
      <c r="A138" s="2" t="s">
        <v>141</v>
      </c>
    </row>
    <row r="139" spans="1:1" x14ac:dyDescent="0.55000000000000004">
      <c r="A139" s="2" t="s">
        <v>142</v>
      </c>
    </row>
    <row r="140" spans="1:1" x14ac:dyDescent="0.55000000000000004">
      <c r="A140" s="2" t="s">
        <v>143</v>
      </c>
    </row>
    <row r="141" spans="1:1" x14ac:dyDescent="0.55000000000000004">
      <c r="A141" s="2" t="s">
        <v>144</v>
      </c>
    </row>
    <row r="142" spans="1:1" x14ac:dyDescent="0.55000000000000004">
      <c r="A142" s="2" t="s">
        <v>145</v>
      </c>
    </row>
    <row r="143" spans="1:1" x14ac:dyDescent="0.55000000000000004">
      <c r="A143" s="2" t="s">
        <v>146</v>
      </c>
    </row>
    <row r="144" spans="1:1" x14ac:dyDescent="0.55000000000000004">
      <c r="A144" s="2" t="s">
        <v>147</v>
      </c>
    </row>
    <row r="145" spans="1:1" x14ac:dyDescent="0.55000000000000004">
      <c r="A145" s="2" t="s">
        <v>148</v>
      </c>
    </row>
    <row r="146" spans="1:1" x14ac:dyDescent="0.55000000000000004">
      <c r="A146" s="2" t="s">
        <v>149</v>
      </c>
    </row>
    <row r="147" spans="1:1" x14ac:dyDescent="0.55000000000000004">
      <c r="A147" s="2" t="s">
        <v>150</v>
      </c>
    </row>
    <row r="148" spans="1:1" x14ac:dyDescent="0.55000000000000004">
      <c r="A148" s="2" t="s">
        <v>151</v>
      </c>
    </row>
    <row r="149" spans="1:1" x14ac:dyDescent="0.55000000000000004">
      <c r="A149" s="2" t="s">
        <v>152</v>
      </c>
    </row>
    <row r="150" spans="1:1" x14ac:dyDescent="0.55000000000000004">
      <c r="A150" s="2" t="s">
        <v>213</v>
      </c>
    </row>
    <row r="151" spans="1:1" x14ac:dyDescent="0.55000000000000004">
      <c r="A151" s="2" t="s">
        <v>214</v>
      </c>
    </row>
    <row r="152" spans="1:1" x14ac:dyDescent="0.55000000000000004">
      <c r="A152" s="2" t="s">
        <v>305</v>
      </c>
    </row>
    <row r="153" spans="1:1" x14ac:dyDescent="0.55000000000000004">
      <c r="A153" s="2" t="s">
        <v>153</v>
      </c>
    </row>
    <row r="154" spans="1:1" x14ac:dyDescent="0.55000000000000004">
      <c r="A154" s="2" t="s">
        <v>154</v>
      </c>
    </row>
    <row r="155" spans="1:1" x14ac:dyDescent="0.55000000000000004">
      <c r="A155" s="2" t="s">
        <v>155</v>
      </c>
    </row>
    <row r="156" spans="1:1" x14ac:dyDescent="0.55000000000000004">
      <c r="A156" s="2" t="s">
        <v>156</v>
      </c>
    </row>
    <row r="157" spans="1:1" x14ac:dyDescent="0.55000000000000004">
      <c r="A157" s="2" t="s">
        <v>157</v>
      </c>
    </row>
    <row r="158" spans="1:1" x14ac:dyDescent="0.55000000000000004">
      <c r="A158" s="2" t="s">
        <v>159</v>
      </c>
    </row>
    <row r="159" spans="1:1" x14ac:dyDescent="0.55000000000000004">
      <c r="A159" s="2" t="s">
        <v>160</v>
      </c>
    </row>
    <row r="160" spans="1:1" x14ac:dyDescent="0.55000000000000004">
      <c r="A160" s="2" t="s">
        <v>161</v>
      </c>
    </row>
    <row r="161" spans="1:1" x14ac:dyDescent="0.55000000000000004">
      <c r="A161" s="2" t="s">
        <v>162</v>
      </c>
    </row>
    <row r="162" spans="1:1" x14ac:dyDescent="0.55000000000000004">
      <c r="A162" s="2" t="s">
        <v>164</v>
      </c>
    </row>
    <row r="163" spans="1:1" x14ac:dyDescent="0.55000000000000004">
      <c r="A163" s="2" t="s">
        <v>165</v>
      </c>
    </row>
    <row r="164" spans="1:1" x14ac:dyDescent="0.55000000000000004">
      <c r="A164" s="2" t="s">
        <v>166</v>
      </c>
    </row>
    <row r="165" spans="1:1" x14ac:dyDescent="0.55000000000000004">
      <c r="A165" s="2" t="s">
        <v>167</v>
      </c>
    </row>
    <row r="166" spans="1:1" x14ac:dyDescent="0.55000000000000004">
      <c r="A166" s="2" t="s">
        <v>168</v>
      </c>
    </row>
    <row r="167" spans="1:1" x14ac:dyDescent="0.55000000000000004">
      <c r="A167" s="2" t="s">
        <v>341</v>
      </c>
    </row>
    <row r="168" spans="1:1" x14ac:dyDescent="0.55000000000000004">
      <c r="A168" s="2" t="s">
        <v>170</v>
      </c>
    </row>
    <row r="169" spans="1:1" x14ac:dyDescent="0.55000000000000004">
      <c r="A169" s="2" t="s">
        <v>171</v>
      </c>
    </row>
    <row r="170" spans="1:1" x14ac:dyDescent="0.55000000000000004">
      <c r="A170" s="2" t="s">
        <v>172</v>
      </c>
    </row>
    <row r="171" spans="1:1" x14ac:dyDescent="0.55000000000000004">
      <c r="A171" s="2" t="s">
        <v>173</v>
      </c>
    </row>
    <row r="172" spans="1:1" x14ac:dyDescent="0.55000000000000004">
      <c r="A172" s="2" t="s">
        <v>174</v>
      </c>
    </row>
    <row r="173" spans="1:1" x14ac:dyDescent="0.55000000000000004">
      <c r="A173" s="2" t="s">
        <v>175</v>
      </c>
    </row>
    <row r="174" spans="1:1" x14ac:dyDescent="0.55000000000000004">
      <c r="A174" s="2" t="s">
        <v>176</v>
      </c>
    </row>
    <row r="175" spans="1:1" x14ac:dyDescent="0.55000000000000004">
      <c r="A175" s="2" t="s">
        <v>177</v>
      </c>
    </row>
    <row r="176" spans="1:1" x14ac:dyDescent="0.55000000000000004">
      <c r="A176" s="2" t="s">
        <v>178</v>
      </c>
    </row>
    <row r="177" spans="1:1" x14ac:dyDescent="0.55000000000000004">
      <c r="A177" s="2" t="s">
        <v>179</v>
      </c>
    </row>
    <row r="178" spans="1:1" x14ac:dyDescent="0.55000000000000004">
      <c r="A178" s="2" t="s">
        <v>180</v>
      </c>
    </row>
    <row r="179" spans="1:1" x14ac:dyDescent="0.55000000000000004">
      <c r="A179" s="2" t="s">
        <v>181</v>
      </c>
    </row>
    <row r="180" spans="1:1" x14ac:dyDescent="0.55000000000000004">
      <c r="A180" s="2" t="s">
        <v>182</v>
      </c>
    </row>
    <row r="181" spans="1:1" x14ac:dyDescent="0.55000000000000004">
      <c r="A181" s="2" t="s">
        <v>183</v>
      </c>
    </row>
    <row r="182" spans="1:1" x14ac:dyDescent="0.55000000000000004">
      <c r="A182" s="2" t="s">
        <v>342</v>
      </c>
    </row>
    <row r="183" spans="1:1" x14ac:dyDescent="0.55000000000000004">
      <c r="A183" s="2" t="s">
        <v>185</v>
      </c>
    </row>
    <row r="184" spans="1:1" x14ac:dyDescent="0.55000000000000004">
      <c r="A184" s="2" t="s">
        <v>186</v>
      </c>
    </row>
    <row r="185" spans="1:1" x14ac:dyDescent="0.55000000000000004">
      <c r="A185" s="2" t="s">
        <v>187</v>
      </c>
    </row>
    <row r="186" spans="1:1" x14ac:dyDescent="0.55000000000000004">
      <c r="A186" s="2" t="s">
        <v>188</v>
      </c>
    </row>
    <row r="187" spans="1:1" x14ac:dyDescent="0.55000000000000004">
      <c r="A187" s="2" t="s">
        <v>189</v>
      </c>
    </row>
    <row r="188" spans="1:1" x14ac:dyDescent="0.55000000000000004">
      <c r="A188" s="2" t="s">
        <v>190</v>
      </c>
    </row>
    <row r="189" spans="1:1" x14ac:dyDescent="0.55000000000000004">
      <c r="A189" s="2" t="s">
        <v>191</v>
      </c>
    </row>
    <row r="190" spans="1:1" x14ac:dyDescent="0.55000000000000004">
      <c r="A190" s="2" t="s">
        <v>192</v>
      </c>
    </row>
    <row r="191" spans="1:1" x14ac:dyDescent="0.55000000000000004">
      <c r="A191" s="2" t="s">
        <v>193</v>
      </c>
    </row>
    <row r="192" spans="1:1" x14ac:dyDescent="0.55000000000000004">
      <c r="A192" s="2" t="s">
        <v>194</v>
      </c>
    </row>
    <row r="193" spans="1:1" x14ac:dyDescent="0.55000000000000004">
      <c r="A193" s="2" t="s">
        <v>195</v>
      </c>
    </row>
    <row r="194" spans="1:1" x14ac:dyDescent="0.55000000000000004">
      <c r="A194" s="2" t="s">
        <v>196</v>
      </c>
    </row>
    <row r="195" spans="1:1" x14ac:dyDescent="0.55000000000000004">
      <c r="A195" s="2" t="s">
        <v>197</v>
      </c>
    </row>
    <row r="196" spans="1:1" x14ac:dyDescent="0.55000000000000004">
      <c r="A196" s="2" t="s">
        <v>198</v>
      </c>
    </row>
    <row r="197" spans="1:1" x14ac:dyDescent="0.55000000000000004">
      <c r="A197" s="2" t="s">
        <v>199</v>
      </c>
    </row>
    <row r="198" spans="1:1" x14ac:dyDescent="0.55000000000000004">
      <c r="A198" s="2" t="s">
        <v>200</v>
      </c>
    </row>
    <row r="199" spans="1:1" x14ac:dyDescent="0.55000000000000004">
      <c r="A199" s="2" t="s">
        <v>201</v>
      </c>
    </row>
    <row r="200" spans="1:1" x14ac:dyDescent="0.55000000000000004">
      <c r="A200" s="2" t="s">
        <v>202</v>
      </c>
    </row>
    <row r="201" spans="1:1" x14ac:dyDescent="0.55000000000000004">
      <c r="A201" s="2" t="s">
        <v>203</v>
      </c>
    </row>
    <row r="202" spans="1:1" x14ac:dyDescent="0.55000000000000004">
      <c r="A202" s="2" t="s">
        <v>204</v>
      </c>
    </row>
    <row r="203" spans="1:1" x14ac:dyDescent="0.55000000000000004">
      <c r="A203" s="2" t="s">
        <v>205</v>
      </c>
    </row>
    <row r="204" spans="1:1" x14ac:dyDescent="0.55000000000000004">
      <c r="A204" s="2" t="s">
        <v>206</v>
      </c>
    </row>
    <row r="205" spans="1:1" x14ac:dyDescent="0.55000000000000004">
      <c r="A205" s="2" t="s">
        <v>207</v>
      </c>
    </row>
    <row r="206" spans="1:1" x14ac:dyDescent="0.55000000000000004">
      <c r="A206" s="2" t="s">
        <v>208</v>
      </c>
    </row>
    <row r="207" spans="1:1" x14ac:dyDescent="0.55000000000000004">
      <c r="A207" s="2" t="s">
        <v>209</v>
      </c>
    </row>
    <row r="208" spans="1:1" x14ac:dyDescent="0.55000000000000004">
      <c r="A208" s="2" t="s">
        <v>210</v>
      </c>
    </row>
    <row r="209" spans="1:1" x14ac:dyDescent="0.55000000000000004">
      <c r="A209" s="2" t="s">
        <v>215</v>
      </c>
    </row>
    <row r="210" spans="1:1" x14ac:dyDescent="0.55000000000000004">
      <c r="A210" s="2" t="s">
        <v>216</v>
      </c>
    </row>
    <row r="211" spans="1:1" x14ac:dyDescent="0.55000000000000004">
      <c r="A211" s="2" t="s">
        <v>218</v>
      </c>
    </row>
    <row r="212" spans="1:1" x14ac:dyDescent="0.55000000000000004">
      <c r="A212" s="2" t="s">
        <v>219</v>
      </c>
    </row>
    <row r="213" spans="1:1" x14ac:dyDescent="0.55000000000000004">
      <c r="A213" s="2" t="s">
        <v>220</v>
      </c>
    </row>
    <row r="214" spans="1:1" x14ac:dyDescent="0.55000000000000004">
      <c r="A214" s="2" t="s">
        <v>221</v>
      </c>
    </row>
    <row r="215" spans="1:1" x14ac:dyDescent="0.55000000000000004">
      <c r="A215" s="2" t="s">
        <v>222</v>
      </c>
    </row>
    <row r="216" spans="1:1" x14ac:dyDescent="0.55000000000000004">
      <c r="A216" s="2" t="s">
        <v>223</v>
      </c>
    </row>
    <row r="217" spans="1:1" x14ac:dyDescent="0.55000000000000004">
      <c r="A217" s="2" t="s">
        <v>224</v>
      </c>
    </row>
    <row r="218" spans="1:1" x14ac:dyDescent="0.55000000000000004">
      <c r="A218" s="2" t="s">
        <v>225</v>
      </c>
    </row>
    <row r="219" spans="1:1" x14ac:dyDescent="0.55000000000000004">
      <c r="A219" s="2" t="s">
        <v>306</v>
      </c>
    </row>
    <row r="220" spans="1:1" x14ac:dyDescent="0.55000000000000004">
      <c r="A220" s="2" t="s">
        <v>227</v>
      </c>
    </row>
    <row r="221" spans="1:1" x14ac:dyDescent="0.55000000000000004">
      <c r="A221" s="2" t="s">
        <v>251</v>
      </c>
    </row>
    <row r="222" spans="1:1" x14ac:dyDescent="0.55000000000000004">
      <c r="A222" s="2" t="s">
        <v>302</v>
      </c>
    </row>
    <row r="223" spans="1:1" x14ac:dyDescent="0.55000000000000004">
      <c r="A223" s="2" t="s">
        <v>303</v>
      </c>
    </row>
    <row r="224" spans="1:1" x14ac:dyDescent="0.55000000000000004">
      <c r="A224" s="2" t="s">
        <v>328</v>
      </c>
    </row>
    <row r="225" spans="1:1" x14ac:dyDescent="0.55000000000000004">
      <c r="A225" s="2" t="s">
        <v>307</v>
      </c>
    </row>
    <row r="226" spans="1:1" x14ac:dyDescent="0.55000000000000004">
      <c r="A226" s="2" t="s">
        <v>217</v>
      </c>
    </row>
    <row r="227" spans="1:1" x14ac:dyDescent="0.55000000000000004">
      <c r="A227" s="2" t="s">
        <v>226</v>
      </c>
    </row>
    <row r="228" spans="1:1" x14ac:dyDescent="0.55000000000000004">
      <c r="A228" s="2" t="s">
        <v>228</v>
      </c>
    </row>
    <row r="229" spans="1:1" x14ac:dyDescent="0.55000000000000004">
      <c r="A229" s="2" t="s">
        <v>229</v>
      </c>
    </row>
    <row r="230" spans="1:1" x14ac:dyDescent="0.55000000000000004">
      <c r="A230" s="2" t="s">
        <v>230</v>
      </c>
    </row>
    <row r="231" spans="1:1" x14ac:dyDescent="0.55000000000000004">
      <c r="A231" s="2" t="s">
        <v>231</v>
      </c>
    </row>
    <row r="232" spans="1:1" x14ac:dyDescent="0.55000000000000004">
      <c r="A232" s="2" t="s">
        <v>232</v>
      </c>
    </row>
    <row r="233" spans="1:1" x14ac:dyDescent="0.55000000000000004">
      <c r="A233" s="2" t="s">
        <v>233</v>
      </c>
    </row>
    <row r="234" spans="1:1" x14ac:dyDescent="0.55000000000000004">
      <c r="A234" s="2" t="s">
        <v>234</v>
      </c>
    </row>
    <row r="235" spans="1:1" x14ac:dyDescent="0.55000000000000004">
      <c r="A235" s="2" t="s">
        <v>235</v>
      </c>
    </row>
    <row r="236" spans="1:1" x14ac:dyDescent="0.55000000000000004">
      <c r="A236" s="2" t="s">
        <v>236</v>
      </c>
    </row>
    <row r="237" spans="1:1" x14ac:dyDescent="0.55000000000000004">
      <c r="A237" s="2" t="s">
        <v>237</v>
      </c>
    </row>
    <row r="238" spans="1:1" x14ac:dyDescent="0.55000000000000004">
      <c r="A238" s="2" t="s">
        <v>238</v>
      </c>
    </row>
    <row r="239" spans="1:1" x14ac:dyDescent="0.55000000000000004">
      <c r="A239" s="2" t="s">
        <v>239</v>
      </c>
    </row>
    <row r="240" spans="1:1" x14ac:dyDescent="0.55000000000000004">
      <c r="A240" s="2" t="s">
        <v>240</v>
      </c>
    </row>
    <row r="241" spans="1:1" x14ac:dyDescent="0.55000000000000004">
      <c r="A241" s="2" t="s">
        <v>241</v>
      </c>
    </row>
    <row r="242" spans="1:1" x14ac:dyDescent="0.55000000000000004">
      <c r="A242" s="2" t="s">
        <v>242</v>
      </c>
    </row>
    <row r="243" spans="1:1" x14ac:dyDescent="0.55000000000000004">
      <c r="A243" s="2" t="s">
        <v>243</v>
      </c>
    </row>
    <row r="244" spans="1:1" x14ac:dyDescent="0.55000000000000004">
      <c r="A244" s="2" t="s">
        <v>244</v>
      </c>
    </row>
    <row r="245" spans="1:1" x14ac:dyDescent="0.55000000000000004">
      <c r="A245" s="2" t="s">
        <v>245</v>
      </c>
    </row>
    <row r="246" spans="1:1" x14ac:dyDescent="0.55000000000000004">
      <c r="A246" s="2" t="s">
        <v>246</v>
      </c>
    </row>
    <row r="247" spans="1:1" x14ac:dyDescent="0.55000000000000004">
      <c r="A247" s="2" t="s">
        <v>247</v>
      </c>
    </row>
    <row r="248" spans="1:1" x14ac:dyDescent="0.55000000000000004">
      <c r="A248" s="2" t="s">
        <v>248</v>
      </c>
    </row>
    <row r="249" spans="1:1" x14ac:dyDescent="0.55000000000000004">
      <c r="A249" s="2" t="s">
        <v>249</v>
      </c>
    </row>
    <row r="250" spans="1:1" x14ac:dyDescent="0.55000000000000004">
      <c r="A250" s="2" t="s">
        <v>250</v>
      </c>
    </row>
    <row r="251" spans="1:1" x14ac:dyDescent="0.55000000000000004">
      <c r="A251" s="2" t="s">
        <v>252</v>
      </c>
    </row>
    <row r="252" spans="1:1" x14ac:dyDescent="0.55000000000000004">
      <c r="A252" s="2" t="s">
        <v>253</v>
      </c>
    </row>
    <row r="253" spans="1:1" x14ac:dyDescent="0.55000000000000004">
      <c r="A253" s="2" t="s">
        <v>254</v>
      </c>
    </row>
    <row r="254" spans="1:1" x14ac:dyDescent="0.55000000000000004">
      <c r="A254" s="2" t="s">
        <v>255</v>
      </c>
    </row>
    <row r="255" spans="1:1" x14ac:dyDescent="0.55000000000000004">
      <c r="A255" s="2" t="s">
        <v>256</v>
      </c>
    </row>
    <row r="256" spans="1:1" x14ac:dyDescent="0.55000000000000004">
      <c r="A256" s="2" t="s">
        <v>257</v>
      </c>
    </row>
    <row r="257" spans="1:1" x14ac:dyDescent="0.55000000000000004">
      <c r="A257" s="2" t="s">
        <v>258</v>
      </c>
    </row>
    <row r="258" spans="1:1" x14ac:dyDescent="0.55000000000000004">
      <c r="A258" s="2" t="s">
        <v>259</v>
      </c>
    </row>
    <row r="259" spans="1:1" x14ac:dyDescent="0.55000000000000004">
      <c r="A259" s="2" t="s">
        <v>260</v>
      </c>
    </row>
    <row r="260" spans="1:1" x14ac:dyDescent="0.55000000000000004">
      <c r="A260" s="2" t="s">
        <v>261</v>
      </c>
    </row>
    <row r="261" spans="1:1" x14ac:dyDescent="0.55000000000000004">
      <c r="A261" s="2" t="s">
        <v>262</v>
      </c>
    </row>
    <row r="262" spans="1:1" x14ac:dyDescent="0.55000000000000004">
      <c r="A262" s="2" t="s">
        <v>263</v>
      </c>
    </row>
    <row r="263" spans="1:1" x14ac:dyDescent="0.55000000000000004">
      <c r="A263" s="2" t="s">
        <v>264</v>
      </c>
    </row>
    <row r="264" spans="1:1" x14ac:dyDescent="0.55000000000000004">
      <c r="A264" s="2" t="s">
        <v>265</v>
      </c>
    </row>
    <row r="265" spans="1:1" x14ac:dyDescent="0.55000000000000004">
      <c r="A265" s="2" t="s">
        <v>266</v>
      </c>
    </row>
    <row r="266" spans="1:1" x14ac:dyDescent="0.55000000000000004">
      <c r="A266" s="2" t="s">
        <v>267</v>
      </c>
    </row>
    <row r="267" spans="1:1" x14ac:dyDescent="0.55000000000000004">
      <c r="A267" s="2" t="s">
        <v>268</v>
      </c>
    </row>
    <row r="268" spans="1:1" x14ac:dyDescent="0.55000000000000004">
      <c r="A268" s="2" t="s">
        <v>269</v>
      </c>
    </row>
    <row r="269" spans="1:1" x14ac:dyDescent="0.55000000000000004">
      <c r="A269" s="2" t="s">
        <v>270</v>
      </c>
    </row>
    <row r="270" spans="1:1" x14ac:dyDescent="0.55000000000000004">
      <c r="A270" s="2" t="s">
        <v>271</v>
      </c>
    </row>
    <row r="271" spans="1:1" x14ac:dyDescent="0.55000000000000004">
      <c r="A271" s="2" t="s">
        <v>272</v>
      </c>
    </row>
    <row r="272" spans="1:1" x14ac:dyDescent="0.55000000000000004">
      <c r="A272" s="2" t="s">
        <v>273</v>
      </c>
    </row>
    <row r="273" spans="1:1" x14ac:dyDescent="0.55000000000000004">
      <c r="A273" s="2" t="s">
        <v>274</v>
      </c>
    </row>
    <row r="274" spans="1:1" x14ac:dyDescent="0.55000000000000004">
      <c r="A274" s="2" t="s">
        <v>275</v>
      </c>
    </row>
    <row r="275" spans="1:1" x14ac:dyDescent="0.55000000000000004">
      <c r="A275" s="2" t="s">
        <v>276</v>
      </c>
    </row>
    <row r="276" spans="1:1" x14ac:dyDescent="0.55000000000000004">
      <c r="A276" s="2" t="s">
        <v>277</v>
      </c>
    </row>
    <row r="277" spans="1:1" x14ac:dyDescent="0.55000000000000004">
      <c r="A277" s="2" t="s">
        <v>278</v>
      </c>
    </row>
    <row r="278" spans="1:1" x14ac:dyDescent="0.55000000000000004">
      <c r="A278" s="2" t="s">
        <v>279</v>
      </c>
    </row>
    <row r="279" spans="1:1" x14ac:dyDescent="0.55000000000000004">
      <c r="A279" s="2" t="s">
        <v>280</v>
      </c>
    </row>
    <row r="280" spans="1:1" x14ac:dyDescent="0.55000000000000004">
      <c r="A280" s="2" t="s">
        <v>281</v>
      </c>
    </row>
    <row r="281" spans="1:1" x14ac:dyDescent="0.55000000000000004">
      <c r="A281" s="2" t="s">
        <v>282</v>
      </c>
    </row>
    <row r="282" spans="1:1" x14ac:dyDescent="0.55000000000000004">
      <c r="A282" s="2" t="s">
        <v>283</v>
      </c>
    </row>
    <row r="283" spans="1:1" x14ac:dyDescent="0.55000000000000004">
      <c r="A283" s="2" t="s">
        <v>284</v>
      </c>
    </row>
    <row r="284" spans="1:1" x14ac:dyDescent="0.55000000000000004">
      <c r="A284" s="2" t="s">
        <v>285</v>
      </c>
    </row>
    <row r="285" spans="1:1" x14ac:dyDescent="0.55000000000000004">
      <c r="A285" s="2" t="s">
        <v>286</v>
      </c>
    </row>
    <row r="286" spans="1:1" x14ac:dyDescent="0.55000000000000004">
      <c r="A286" s="2" t="s">
        <v>287</v>
      </c>
    </row>
    <row r="287" spans="1:1" x14ac:dyDescent="0.55000000000000004">
      <c r="A287" s="2" t="s">
        <v>288</v>
      </c>
    </row>
    <row r="288" spans="1:1" x14ac:dyDescent="0.55000000000000004">
      <c r="A288" s="2" t="s">
        <v>289</v>
      </c>
    </row>
    <row r="289" spans="1:1" x14ac:dyDescent="0.55000000000000004">
      <c r="A289" s="2" t="s">
        <v>290</v>
      </c>
    </row>
    <row r="290" spans="1:1" x14ac:dyDescent="0.55000000000000004">
      <c r="A290" s="2" t="s">
        <v>291</v>
      </c>
    </row>
    <row r="291" spans="1:1" x14ac:dyDescent="0.55000000000000004">
      <c r="A291" s="2" t="s">
        <v>292</v>
      </c>
    </row>
    <row r="292" spans="1:1" x14ac:dyDescent="0.55000000000000004">
      <c r="A292" s="2" t="s">
        <v>293</v>
      </c>
    </row>
    <row r="293" spans="1:1" x14ac:dyDescent="0.55000000000000004">
      <c r="A293" s="2" t="s">
        <v>294</v>
      </c>
    </row>
    <row r="294" spans="1:1" x14ac:dyDescent="0.55000000000000004">
      <c r="A294" s="2" t="s">
        <v>295</v>
      </c>
    </row>
    <row r="295" spans="1:1" x14ac:dyDescent="0.55000000000000004">
      <c r="A295" s="2" t="s">
        <v>296</v>
      </c>
    </row>
    <row r="296" spans="1:1" x14ac:dyDescent="0.55000000000000004">
      <c r="A296" s="2" t="s">
        <v>297</v>
      </c>
    </row>
    <row r="297" spans="1:1" x14ac:dyDescent="0.55000000000000004">
      <c r="A297" s="2" t="s">
        <v>298</v>
      </c>
    </row>
    <row r="298" spans="1:1" x14ac:dyDescent="0.55000000000000004">
      <c r="A298" s="2" t="s">
        <v>299</v>
      </c>
    </row>
    <row r="299" spans="1:1" x14ac:dyDescent="0.55000000000000004">
      <c r="A299" s="2" t="s">
        <v>300</v>
      </c>
    </row>
    <row r="300" spans="1:1" x14ac:dyDescent="0.55000000000000004">
      <c r="A300" s="2" t="s">
        <v>301</v>
      </c>
    </row>
    <row r="301" spans="1:1" x14ac:dyDescent="0.55000000000000004">
      <c r="A301" s="2" t="s">
        <v>308</v>
      </c>
    </row>
    <row r="302" spans="1:1" x14ac:dyDescent="0.55000000000000004">
      <c r="A302" s="2" t="s">
        <v>309</v>
      </c>
    </row>
    <row r="303" spans="1:1" x14ac:dyDescent="0.55000000000000004">
      <c r="A303" s="2" t="s">
        <v>310</v>
      </c>
    </row>
    <row r="304" spans="1:1" x14ac:dyDescent="0.55000000000000004">
      <c r="A304" s="2" t="s">
        <v>311</v>
      </c>
    </row>
    <row r="305" spans="1:1" x14ac:dyDescent="0.55000000000000004">
      <c r="A305" s="2" t="s">
        <v>312</v>
      </c>
    </row>
    <row r="306" spans="1:1" x14ac:dyDescent="0.55000000000000004">
      <c r="A306" s="2" t="s">
        <v>313</v>
      </c>
    </row>
    <row r="307" spans="1:1" x14ac:dyDescent="0.55000000000000004">
      <c r="A307" s="2" t="s">
        <v>314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</dc:creator>
  <cp:lastModifiedBy>MG</cp:lastModifiedBy>
  <dcterms:created xsi:type="dcterms:W3CDTF">2019-12-17T00:37:32Z</dcterms:created>
  <dcterms:modified xsi:type="dcterms:W3CDTF">2019-12-19T16:40:30Z</dcterms:modified>
</cp:coreProperties>
</file>